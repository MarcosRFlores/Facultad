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filterPrivacy="1" codeName="ThisWorkbook" defaultThemeVersion="124226"/>
  <xr:revisionPtr revIDLastSave="0" documentId="13_ncr:1_{0565BA5E-B1A4-4567-985B-D080D571ADB3}" xr6:coauthVersionLast="47" xr6:coauthVersionMax="47" xr10:uidLastSave="{00000000-0000-0000-0000-000000000000}"/>
  <bookViews>
    <workbookView xWindow="-120" yWindow="-120" windowWidth="29040" windowHeight="15840" activeTab="6" xr2:uid="{00000000-000D-0000-FFFF-FFFF00000000}"/>
  </bookViews>
  <sheets>
    <sheet name="Instrucciones" sheetId="8" r:id="rId1"/>
    <sheet name="Ejemplo de análisis" sheetId="1" r:id="rId2"/>
    <sheet name="Tablas AR" sheetId="2" r:id="rId3"/>
    <sheet name="Catálogo amenazas" sheetId="4" r:id="rId4"/>
    <sheet name="Activos" sheetId="5" r:id="rId5"/>
    <sheet name="Cruces Activo-Amenaza" sheetId="7" r:id="rId6"/>
    <sheet name="Análisis de Riesgos" sheetId="6" r:id="rId7"/>
  </sheets>
  <calcPr calcId="191029"/>
</workbook>
</file>

<file path=xl/calcChain.xml><?xml version="1.0" encoding="utf-8"?>
<calcChain xmlns="http://schemas.openxmlformats.org/spreadsheetml/2006/main">
  <c r="H4" i="6" l="1"/>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I930" i="6" s="1"/>
  <c r="H931" i="6"/>
  <c r="I931" i="6" s="1"/>
  <c r="F4" i="6"/>
  <c r="I4" i="6" s="1"/>
  <c r="F5" i="6"/>
  <c r="I5" i="6" s="1"/>
  <c r="F6" i="6"/>
  <c r="I6" i="6" s="1"/>
  <c r="F7" i="6"/>
  <c r="F8" i="6"/>
  <c r="I8" i="6" s="1"/>
  <c r="F9" i="6"/>
  <c r="I9" i="6" s="1"/>
  <c r="F10" i="6"/>
  <c r="F11" i="6"/>
  <c r="F12" i="6"/>
  <c r="I12" i="6" s="1"/>
  <c r="F13" i="6"/>
  <c r="I13" i="6" s="1"/>
  <c r="F14" i="6"/>
  <c r="F15" i="6"/>
  <c r="F16" i="6"/>
  <c r="I16" i="6" s="1"/>
  <c r="F17" i="6"/>
  <c r="I17" i="6" s="1"/>
  <c r="F18" i="6"/>
  <c r="I18" i="6" s="1"/>
  <c r="F19" i="6"/>
  <c r="I19" i="6" s="1"/>
  <c r="F20" i="6"/>
  <c r="I20" i="6" s="1"/>
  <c r="F21" i="6"/>
  <c r="I21" i="6" s="1"/>
  <c r="F22" i="6"/>
  <c r="I22" i="6" s="1"/>
  <c r="F23" i="6"/>
  <c r="I23" i="6" s="1"/>
  <c r="F24" i="6"/>
  <c r="I24" i="6" s="1"/>
  <c r="F25" i="6"/>
  <c r="I25" i="6" s="1"/>
  <c r="F26" i="6"/>
  <c r="I26" i="6" s="1"/>
  <c r="F27" i="6"/>
  <c r="I27" i="6" s="1"/>
  <c r="F28" i="6"/>
  <c r="I28" i="6" s="1"/>
  <c r="F29" i="6"/>
  <c r="I29" i="6" s="1"/>
  <c r="F30" i="6"/>
  <c r="I30" i="6" s="1"/>
  <c r="F31" i="6"/>
  <c r="I31" i="6" s="1"/>
  <c r="F32" i="6"/>
  <c r="I32" i="6" s="1"/>
  <c r="F33" i="6"/>
  <c r="I33" i="6" s="1"/>
  <c r="F34" i="6"/>
  <c r="I34" i="6" s="1"/>
  <c r="F35" i="6"/>
  <c r="I35" i="6" s="1"/>
  <c r="F36" i="6"/>
  <c r="I36" i="6" s="1"/>
  <c r="F37" i="6"/>
  <c r="I37" i="6" s="1"/>
  <c r="F38" i="6"/>
  <c r="I38" i="6" s="1"/>
  <c r="F39" i="6"/>
  <c r="I39" i="6" s="1"/>
  <c r="F40" i="6"/>
  <c r="I40" i="6" s="1"/>
  <c r="F41" i="6"/>
  <c r="I41" i="6" s="1"/>
  <c r="F42" i="6"/>
  <c r="I42" i="6" s="1"/>
  <c r="F43" i="6"/>
  <c r="I43" i="6" s="1"/>
  <c r="F44" i="6"/>
  <c r="I44" i="6" s="1"/>
  <c r="F45" i="6"/>
  <c r="I45" i="6" s="1"/>
  <c r="F46" i="6"/>
  <c r="I46" i="6" s="1"/>
  <c r="F47" i="6"/>
  <c r="I47" i="6" s="1"/>
  <c r="F48" i="6"/>
  <c r="I48" i="6" s="1"/>
  <c r="F49" i="6"/>
  <c r="I49" i="6" s="1"/>
  <c r="F50" i="6"/>
  <c r="I50" i="6" s="1"/>
  <c r="F51" i="6"/>
  <c r="I51" i="6" s="1"/>
  <c r="F52" i="6"/>
  <c r="I52" i="6" s="1"/>
  <c r="F53" i="6"/>
  <c r="I53" i="6" s="1"/>
  <c r="F54" i="6"/>
  <c r="I54" i="6" s="1"/>
  <c r="F55" i="6"/>
  <c r="I55" i="6" s="1"/>
  <c r="F56" i="6"/>
  <c r="I56" i="6" s="1"/>
  <c r="F57" i="6"/>
  <c r="I57" i="6" s="1"/>
  <c r="F58" i="6"/>
  <c r="I58" i="6" s="1"/>
  <c r="F59" i="6"/>
  <c r="I59" i="6" s="1"/>
  <c r="F60" i="6"/>
  <c r="I60" i="6" s="1"/>
  <c r="F61" i="6"/>
  <c r="I61" i="6" s="1"/>
  <c r="F62" i="6"/>
  <c r="I62" i="6" s="1"/>
  <c r="F63" i="6"/>
  <c r="I63" i="6" s="1"/>
  <c r="F64" i="6"/>
  <c r="I64" i="6" s="1"/>
  <c r="F65" i="6"/>
  <c r="I65" i="6" s="1"/>
  <c r="F66" i="6"/>
  <c r="I66" i="6" s="1"/>
  <c r="F67" i="6"/>
  <c r="I67" i="6" s="1"/>
  <c r="F68" i="6"/>
  <c r="I68" i="6" s="1"/>
  <c r="F69" i="6"/>
  <c r="I69" i="6" s="1"/>
  <c r="F70" i="6"/>
  <c r="I70" i="6" s="1"/>
  <c r="F71" i="6"/>
  <c r="I71" i="6" s="1"/>
  <c r="F72" i="6"/>
  <c r="I72" i="6" s="1"/>
  <c r="F73" i="6"/>
  <c r="I73" i="6" s="1"/>
  <c r="F74" i="6"/>
  <c r="I74" i="6" s="1"/>
  <c r="F75" i="6"/>
  <c r="I75" i="6" s="1"/>
  <c r="F76" i="6"/>
  <c r="I76" i="6" s="1"/>
  <c r="F77" i="6"/>
  <c r="I77" i="6" s="1"/>
  <c r="F78" i="6"/>
  <c r="I78" i="6" s="1"/>
  <c r="F79" i="6"/>
  <c r="I79" i="6" s="1"/>
  <c r="F80" i="6"/>
  <c r="I80" i="6" s="1"/>
  <c r="F81" i="6"/>
  <c r="I81" i="6" s="1"/>
  <c r="F82" i="6"/>
  <c r="I82" i="6" s="1"/>
  <c r="F83" i="6"/>
  <c r="I83" i="6" s="1"/>
  <c r="F84" i="6"/>
  <c r="I84" i="6" s="1"/>
  <c r="F85" i="6"/>
  <c r="I85" i="6" s="1"/>
  <c r="F86" i="6"/>
  <c r="I86" i="6" s="1"/>
  <c r="F87" i="6"/>
  <c r="I87" i="6" s="1"/>
  <c r="F88" i="6"/>
  <c r="I88" i="6" s="1"/>
  <c r="F89" i="6"/>
  <c r="I89" i="6" s="1"/>
  <c r="F90" i="6"/>
  <c r="I90" i="6" s="1"/>
  <c r="F91" i="6"/>
  <c r="I91" i="6" s="1"/>
  <c r="F92" i="6"/>
  <c r="I92" i="6" s="1"/>
  <c r="F93" i="6"/>
  <c r="I93" i="6" s="1"/>
  <c r="F94" i="6"/>
  <c r="I94" i="6" s="1"/>
  <c r="F95" i="6"/>
  <c r="I95" i="6" s="1"/>
  <c r="F96" i="6"/>
  <c r="I96" i="6" s="1"/>
  <c r="F97" i="6"/>
  <c r="I97" i="6" s="1"/>
  <c r="F98" i="6"/>
  <c r="I98" i="6" s="1"/>
  <c r="F99" i="6"/>
  <c r="I99" i="6" s="1"/>
  <c r="F100" i="6"/>
  <c r="I100" i="6" s="1"/>
  <c r="F101" i="6"/>
  <c r="I101" i="6" s="1"/>
  <c r="F102" i="6"/>
  <c r="I102" i="6" s="1"/>
  <c r="F103" i="6"/>
  <c r="I103" i="6" s="1"/>
  <c r="F104" i="6"/>
  <c r="I104" i="6" s="1"/>
  <c r="F105" i="6"/>
  <c r="I105" i="6" s="1"/>
  <c r="F106" i="6"/>
  <c r="I106" i="6" s="1"/>
  <c r="F107" i="6"/>
  <c r="I107" i="6" s="1"/>
  <c r="F108" i="6"/>
  <c r="I108" i="6" s="1"/>
  <c r="F109" i="6"/>
  <c r="I109" i="6" s="1"/>
  <c r="F110" i="6"/>
  <c r="I110" i="6" s="1"/>
  <c r="F111" i="6"/>
  <c r="I111" i="6" s="1"/>
  <c r="F112" i="6"/>
  <c r="I112" i="6" s="1"/>
  <c r="F113" i="6"/>
  <c r="I113" i="6" s="1"/>
  <c r="F114" i="6"/>
  <c r="I114" i="6" s="1"/>
  <c r="F115" i="6"/>
  <c r="I115" i="6" s="1"/>
  <c r="F116" i="6"/>
  <c r="I116" i="6" s="1"/>
  <c r="F117" i="6"/>
  <c r="I117" i="6" s="1"/>
  <c r="F118" i="6"/>
  <c r="I118" i="6" s="1"/>
  <c r="F119" i="6"/>
  <c r="I119" i="6" s="1"/>
  <c r="F120" i="6"/>
  <c r="I120" i="6" s="1"/>
  <c r="F121" i="6"/>
  <c r="I121" i="6" s="1"/>
  <c r="F122" i="6"/>
  <c r="I122" i="6" s="1"/>
  <c r="F123" i="6"/>
  <c r="I123" i="6" s="1"/>
  <c r="F124" i="6"/>
  <c r="I124" i="6" s="1"/>
  <c r="F125" i="6"/>
  <c r="I125" i="6" s="1"/>
  <c r="F126" i="6"/>
  <c r="I126" i="6" s="1"/>
  <c r="F127" i="6"/>
  <c r="I127" i="6" s="1"/>
  <c r="F128" i="6"/>
  <c r="I128" i="6" s="1"/>
  <c r="F129" i="6"/>
  <c r="I129" i="6" s="1"/>
  <c r="F130" i="6"/>
  <c r="I130" i="6" s="1"/>
  <c r="F131" i="6"/>
  <c r="I131" i="6" s="1"/>
  <c r="F132" i="6"/>
  <c r="I132" i="6" s="1"/>
  <c r="F133" i="6"/>
  <c r="I133" i="6" s="1"/>
  <c r="F134" i="6"/>
  <c r="I134" i="6" s="1"/>
  <c r="F135" i="6"/>
  <c r="I135" i="6" s="1"/>
  <c r="F136" i="6"/>
  <c r="I136" i="6" s="1"/>
  <c r="F137" i="6"/>
  <c r="I137" i="6" s="1"/>
  <c r="F138" i="6"/>
  <c r="I138" i="6" s="1"/>
  <c r="F139" i="6"/>
  <c r="I139" i="6" s="1"/>
  <c r="F140" i="6"/>
  <c r="I140" i="6" s="1"/>
  <c r="F141" i="6"/>
  <c r="I141" i="6" s="1"/>
  <c r="F142" i="6"/>
  <c r="I142" i="6" s="1"/>
  <c r="F143" i="6"/>
  <c r="I143" i="6" s="1"/>
  <c r="F144" i="6"/>
  <c r="I144" i="6" s="1"/>
  <c r="F145" i="6"/>
  <c r="I145" i="6" s="1"/>
  <c r="F146" i="6"/>
  <c r="I146" i="6" s="1"/>
  <c r="F147" i="6"/>
  <c r="I147" i="6" s="1"/>
  <c r="F148" i="6"/>
  <c r="I148" i="6" s="1"/>
  <c r="F149" i="6"/>
  <c r="I149" i="6" s="1"/>
  <c r="F150" i="6"/>
  <c r="I150" i="6" s="1"/>
  <c r="F151" i="6"/>
  <c r="I151" i="6" s="1"/>
  <c r="F152" i="6"/>
  <c r="I152" i="6" s="1"/>
  <c r="F153" i="6"/>
  <c r="I153" i="6" s="1"/>
  <c r="F154" i="6"/>
  <c r="I154" i="6" s="1"/>
  <c r="F155" i="6"/>
  <c r="I155" i="6" s="1"/>
  <c r="F156" i="6"/>
  <c r="I156" i="6" s="1"/>
  <c r="F157" i="6"/>
  <c r="I157" i="6" s="1"/>
  <c r="F158" i="6"/>
  <c r="I158" i="6" s="1"/>
  <c r="F159" i="6"/>
  <c r="I159" i="6" s="1"/>
  <c r="F160" i="6"/>
  <c r="I160" i="6" s="1"/>
  <c r="F161" i="6"/>
  <c r="I161" i="6" s="1"/>
  <c r="F162" i="6"/>
  <c r="I162" i="6" s="1"/>
  <c r="F163" i="6"/>
  <c r="I163" i="6" s="1"/>
  <c r="F164" i="6"/>
  <c r="I164" i="6" s="1"/>
  <c r="F165" i="6"/>
  <c r="I165" i="6" s="1"/>
  <c r="F166" i="6"/>
  <c r="I166" i="6" s="1"/>
  <c r="F167" i="6"/>
  <c r="I167" i="6" s="1"/>
  <c r="F168" i="6"/>
  <c r="I168" i="6" s="1"/>
  <c r="F169" i="6"/>
  <c r="I169" i="6" s="1"/>
  <c r="F170" i="6"/>
  <c r="I170" i="6" s="1"/>
  <c r="F171" i="6"/>
  <c r="I171" i="6" s="1"/>
  <c r="F172" i="6"/>
  <c r="I172" i="6" s="1"/>
  <c r="F173" i="6"/>
  <c r="I173" i="6" s="1"/>
  <c r="F174" i="6"/>
  <c r="I174" i="6" s="1"/>
  <c r="F175" i="6"/>
  <c r="I175" i="6" s="1"/>
  <c r="F176" i="6"/>
  <c r="I176" i="6" s="1"/>
  <c r="F177" i="6"/>
  <c r="I177" i="6" s="1"/>
  <c r="F178" i="6"/>
  <c r="I178" i="6" s="1"/>
  <c r="F179" i="6"/>
  <c r="I179" i="6" s="1"/>
  <c r="F180" i="6"/>
  <c r="I180" i="6" s="1"/>
  <c r="F181" i="6"/>
  <c r="I181" i="6" s="1"/>
  <c r="F182" i="6"/>
  <c r="I182" i="6" s="1"/>
  <c r="F183" i="6"/>
  <c r="I183" i="6" s="1"/>
  <c r="F184" i="6"/>
  <c r="I184" i="6" s="1"/>
  <c r="F185" i="6"/>
  <c r="I185" i="6" s="1"/>
  <c r="F186" i="6"/>
  <c r="I186" i="6" s="1"/>
  <c r="F187" i="6"/>
  <c r="I187" i="6" s="1"/>
  <c r="F188" i="6"/>
  <c r="I188" i="6" s="1"/>
  <c r="F189" i="6"/>
  <c r="I189" i="6" s="1"/>
  <c r="F190" i="6"/>
  <c r="I190" i="6" s="1"/>
  <c r="F191" i="6"/>
  <c r="I191" i="6" s="1"/>
  <c r="F192" i="6"/>
  <c r="I192" i="6" s="1"/>
  <c r="F193" i="6"/>
  <c r="I193" i="6" s="1"/>
  <c r="F194" i="6"/>
  <c r="I194" i="6" s="1"/>
  <c r="F195" i="6"/>
  <c r="I195" i="6" s="1"/>
  <c r="F196" i="6"/>
  <c r="I196" i="6" s="1"/>
  <c r="F197" i="6"/>
  <c r="I197" i="6" s="1"/>
  <c r="F198" i="6"/>
  <c r="I198" i="6" s="1"/>
  <c r="F199" i="6"/>
  <c r="I199" i="6" s="1"/>
  <c r="F200" i="6"/>
  <c r="I200" i="6" s="1"/>
  <c r="F201" i="6"/>
  <c r="I201" i="6" s="1"/>
  <c r="F202" i="6"/>
  <c r="I202" i="6" s="1"/>
  <c r="F203" i="6"/>
  <c r="I203" i="6" s="1"/>
  <c r="F204" i="6"/>
  <c r="I204" i="6" s="1"/>
  <c r="F205" i="6"/>
  <c r="I205" i="6" s="1"/>
  <c r="F206" i="6"/>
  <c r="I206" i="6" s="1"/>
  <c r="F207" i="6"/>
  <c r="I207" i="6" s="1"/>
  <c r="F208" i="6"/>
  <c r="I208" i="6" s="1"/>
  <c r="F209" i="6"/>
  <c r="I209" i="6" s="1"/>
  <c r="F210" i="6"/>
  <c r="I210" i="6" s="1"/>
  <c r="F211" i="6"/>
  <c r="I211" i="6" s="1"/>
  <c r="F212" i="6"/>
  <c r="I212" i="6" s="1"/>
  <c r="F213" i="6"/>
  <c r="I213" i="6" s="1"/>
  <c r="F214" i="6"/>
  <c r="I214" i="6" s="1"/>
  <c r="F215" i="6"/>
  <c r="I215" i="6" s="1"/>
  <c r="F216" i="6"/>
  <c r="I216" i="6" s="1"/>
  <c r="F217" i="6"/>
  <c r="I217" i="6" s="1"/>
  <c r="F218" i="6"/>
  <c r="I218" i="6" s="1"/>
  <c r="F219" i="6"/>
  <c r="I219" i="6" s="1"/>
  <c r="F220" i="6"/>
  <c r="I220" i="6" s="1"/>
  <c r="F221" i="6"/>
  <c r="I221" i="6" s="1"/>
  <c r="F222" i="6"/>
  <c r="I222" i="6" s="1"/>
  <c r="F223" i="6"/>
  <c r="I223" i="6" s="1"/>
  <c r="F224" i="6"/>
  <c r="I224" i="6" s="1"/>
  <c r="F225" i="6"/>
  <c r="I225" i="6" s="1"/>
  <c r="F226" i="6"/>
  <c r="I226" i="6" s="1"/>
  <c r="F227" i="6"/>
  <c r="I227" i="6" s="1"/>
  <c r="F228" i="6"/>
  <c r="I228" i="6" s="1"/>
  <c r="F229" i="6"/>
  <c r="I229" i="6" s="1"/>
  <c r="F230" i="6"/>
  <c r="I230" i="6" s="1"/>
  <c r="F231" i="6"/>
  <c r="I231" i="6" s="1"/>
  <c r="F232" i="6"/>
  <c r="I232" i="6" s="1"/>
  <c r="F233" i="6"/>
  <c r="I233" i="6" s="1"/>
  <c r="F234" i="6"/>
  <c r="I234" i="6" s="1"/>
  <c r="F235" i="6"/>
  <c r="I235" i="6" s="1"/>
  <c r="F236" i="6"/>
  <c r="I236" i="6" s="1"/>
  <c r="F237" i="6"/>
  <c r="I237" i="6" s="1"/>
  <c r="F238" i="6"/>
  <c r="I238" i="6" s="1"/>
  <c r="F239" i="6"/>
  <c r="I239" i="6" s="1"/>
  <c r="F240" i="6"/>
  <c r="I240" i="6" s="1"/>
  <c r="F241" i="6"/>
  <c r="I241" i="6" s="1"/>
  <c r="F242" i="6"/>
  <c r="I242" i="6" s="1"/>
  <c r="F243" i="6"/>
  <c r="I243" i="6" s="1"/>
  <c r="F244" i="6"/>
  <c r="I244" i="6" s="1"/>
  <c r="F245" i="6"/>
  <c r="I245" i="6" s="1"/>
  <c r="F246" i="6"/>
  <c r="I246" i="6" s="1"/>
  <c r="F247" i="6"/>
  <c r="I247" i="6" s="1"/>
  <c r="F248" i="6"/>
  <c r="I248" i="6" s="1"/>
  <c r="F249" i="6"/>
  <c r="I249" i="6" s="1"/>
  <c r="F250" i="6"/>
  <c r="I250" i="6" s="1"/>
  <c r="F251" i="6"/>
  <c r="I251" i="6" s="1"/>
  <c r="F252" i="6"/>
  <c r="I252" i="6" s="1"/>
  <c r="F253" i="6"/>
  <c r="I253" i="6" s="1"/>
  <c r="F254" i="6"/>
  <c r="I254" i="6" s="1"/>
  <c r="F255" i="6"/>
  <c r="I255" i="6" s="1"/>
  <c r="F256" i="6"/>
  <c r="I256" i="6" s="1"/>
  <c r="F257" i="6"/>
  <c r="I257" i="6" s="1"/>
  <c r="F258" i="6"/>
  <c r="I258" i="6" s="1"/>
  <c r="F259" i="6"/>
  <c r="I259" i="6" s="1"/>
  <c r="F260" i="6"/>
  <c r="I260" i="6" s="1"/>
  <c r="F261" i="6"/>
  <c r="I261" i="6" s="1"/>
  <c r="F262" i="6"/>
  <c r="I262" i="6" s="1"/>
  <c r="F263" i="6"/>
  <c r="I263" i="6" s="1"/>
  <c r="F264" i="6"/>
  <c r="I264" i="6" s="1"/>
  <c r="F265" i="6"/>
  <c r="I265" i="6" s="1"/>
  <c r="F266" i="6"/>
  <c r="I266" i="6" s="1"/>
  <c r="F267" i="6"/>
  <c r="I267" i="6" s="1"/>
  <c r="F268" i="6"/>
  <c r="I268" i="6" s="1"/>
  <c r="F269" i="6"/>
  <c r="I269" i="6" s="1"/>
  <c r="F270" i="6"/>
  <c r="I270" i="6" s="1"/>
  <c r="F271" i="6"/>
  <c r="I271" i="6" s="1"/>
  <c r="F272" i="6"/>
  <c r="I272" i="6" s="1"/>
  <c r="F273" i="6"/>
  <c r="I273" i="6" s="1"/>
  <c r="F274" i="6"/>
  <c r="I274" i="6" s="1"/>
  <c r="F275" i="6"/>
  <c r="I275" i="6" s="1"/>
  <c r="F276" i="6"/>
  <c r="I276" i="6" s="1"/>
  <c r="F277" i="6"/>
  <c r="I277" i="6" s="1"/>
  <c r="F278" i="6"/>
  <c r="I278" i="6" s="1"/>
  <c r="F279" i="6"/>
  <c r="I279" i="6" s="1"/>
  <c r="F280" i="6"/>
  <c r="I280" i="6" s="1"/>
  <c r="F281" i="6"/>
  <c r="I281" i="6" s="1"/>
  <c r="F282" i="6"/>
  <c r="I282" i="6" s="1"/>
  <c r="F283" i="6"/>
  <c r="I283" i="6" s="1"/>
  <c r="F284" i="6"/>
  <c r="I284" i="6" s="1"/>
  <c r="F285" i="6"/>
  <c r="I285" i="6" s="1"/>
  <c r="F286" i="6"/>
  <c r="I286" i="6" s="1"/>
  <c r="F287" i="6"/>
  <c r="I287" i="6" s="1"/>
  <c r="F288" i="6"/>
  <c r="I288" i="6" s="1"/>
  <c r="F289" i="6"/>
  <c r="I289" i="6" s="1"/>
  <c r="F290" i="6"/>
  <c r="I290" i="6" s="1"/>
  <c r="F291" i="6"/>
  <c r="I291" i="6" s="1"/>
  <c r="F292" i="6"/>
  <c r="I292" i="6" s="1"/>
  <c r="F293" i="6"/>
  <c r="I293" i="6" s="1"/>
  <c r="F294" i="6"/>
  <c r="I294" i="6" s="1"/>
  <c r="F295" i="6"/>
  <c r="I295" i="6" s="1"/>
  <c r="F296" i="6"/>
  <c r="I296" i="6" s="1"/>
  <c r="F297" i="6"/>
  <c r="I297" i="6" s="1"/>
  <c r="F298" i="6"/>
  <c r="I298" i="6" s="1"/>
  <c r="F299" i="6"/>
  <c r="I299" i="6" s="1"/>
  <c r="F300" i="6"/>
  <c r="I300" i="6" s="1"/>
  <c r="F301" i="6"/>
  <c r="I301" i="6" s="1"/>
  <c r="F302" i="6"/>
  <c r="I302" i="6" s="1"/>
  <c r="F303" i="6"/>
  <c r="I303" i="6" s="1"/>
  <c r="F304" i="6"/>
  <c r="I304" i="6" s="1"/>
  <c r="F305" i="6"/>
  <c r="I305" i="6" s="1"/>
  <c r="F306" i="6"/>
  <c r="I306" i="6" s="1"/>
  <c r="F307" i="6"/>
  <c r="I307" i="6" s="1"/>
  <c r="F308" i="6"/>
  <c r="I308" i="6" s="1"/>
  <c r="F309" i="6"/>
  <c r="I309" i="6" s="1"/>
  <c r="F310" i="6"/>
  <c r="I310" i="6" s="1"/>
  <c r="F311" i="6"/>
  <c r="I311" i="6" s="1"/>
  <c r="F312" i="6"/>
  <c r="I312" i="6" s="1"/>
  <c r="F313" i="6"/>
  <c r="I313" i="6" s="1"/>
  <c r="F314" i="6"/>
  <c r="I314" i="6" s="1"/>
  <c r="F315" i="6"/>
  <c r="I315" i="6" s="1"/>
  <c r="F316" i="6"/>
  <c r="I316" i="6" s="1"/>
  <c r="F317" i="6"/>
  <c r="I317" i="6" s="1"/>
  <c r="F318" i="6"/>
  <c r="I318" i="6" s="1"/>
  <c r="F319" i="6"/>
  <c r="I319" i="6" s="1"/>
  <c r="F320" i="6"/>
  <c r="I320" i="6" s="1"/>
  <c r="F321" i="6"/>
  <c r="I321" i="6" s="1"/>
  <c r="F322" i="6"/>
  <c r="I322" i="6" s="1"/>
  <c r="F323" i="6"/>
  <c r="I323" i="6" s="1"/>
  <c r="F324" i="6"/>
  <c r="I324" i="6" s="1"/>
  <c r="F325" i="6"/>
  <c r="I325" i="6" s="1"/>
  <c r="F326" i="6"/>
  <c r="I326" i="6" s="1"/>
  <c r="F327" i="6"/>
  <c r="I327" i="6" s="1"/>
  <c r="F328" i="6"/>
  <c r="I328" i="6" s="1"/>
  <c r="F329" i="6"/>
  <c r="I329" i="6" s="1"/>
  <c r="F330" i="6"/>
  <c r="I330" i="6" s="1"/>
  <c r="F331" i="6"/>
  <c r="I331" i="6" s="1"/>
  <c r="F332" i="6"/>
  <c r="I332" i="6" s="1"/>
  <c r="F333" i="6"/>
  <c r="I333" i="6" s="1"/>
  <c r="F334" i="6"/>
  <c r="I334" i="6" s="1"/>
  <c r="F335" i="6"/>
  <c r="I335" i="6" s="1"/>
  <c r="F336" i="6"/>
  <c r="I336" i="6" s="1"/>
  <c r="F337" i="6"/>
  <c r="I337" i="6" s="1"/>
  <c r="F338" i="6"/>
  <c r="I338" i="6" s="1"/>
  <c r="F339" i="6"/>
  <c r="I339" i="6" s="1"/>
  <c r="F340" i="6"/>
  <c r="I340" i="6" s="1"/>
  <c r="F341" i="6"/>
  <c r="I341" i="6" s="1"/>
  <c r="F342" i="6"/>
  <c r="I342" i="6" s="1"/>
  <c r="F343" i="6"/>
  <c r="I343" i="6" s="1"/>
  <c r="F344" i="6"/>
  <c r="I344" i="6" s="1"/>
  <c r="F345" i="6"/>
  <c r="I345" i="6" s="1"/>
  <c r="F346" i="6"/>
  <c r="I346" i="6" s="1"/>
  <c r="F347" i="6"/>
  <c r="I347" i="6" s="1"/>
  <c r="F348" i="6"/>
  <c r="I348" i="6" s="1"/>
  <c r="F349" i="6"/>
  <c r="I349" i="6" s="1"/>
  <c r="F350" i="6"/>
  <c r="I350" i="6" s="1"/>
  <c r="F351" i="6"/>
  <c r="I351" i="6" s="1"/>
  <c r="F352" i="6"/>
  <c r="I352" i="6" s="1"/>
  <c r="F353" i="6"/>
  <c r="I353" i="6" s="1"/>
  <c r="F354" i="6"/>
  <c r="I354" i="6" s="1"/>
  <c r="F355" i="6"/>
  <c r="I355" i="6" s="1"/>
  <c r="F356" i="6"/>
  <c r="I356" i="6" s="1"/>
  <c r="F357" i="6"/>
  <c r="I357" i="6" s="1"/>
  <c r="F358" i="6"/>
  <c r="I358" i="6" s="1"/>
  <c r="F359" i="6"/>
  <c r="I359" i="6" s="1"/>
  <c r="F360" i="6"/>
  <c r="I360" i="6" s="1"/>
  <c r="F361" i="6"/>
  <c r="I361" i="6" s="1"/>
  <c r="F362" i="6"/>
  <c r="I362" i="6" s="1"/>
  <c r="F363" i="6"/>
  <c r="I363" i="6" s="1"/>
  <c r="F364" i="6"/>
  <c r="I364" i="6" s="1"/>
  <c r="F365" i="6"/>
  <c r="I365" i="6" s="1"/>
  <c r="F366" i="6"/>
  <c r="I366" i="6" s="1"/>
  <c r="F367" i="6"/>
  <c r="I367" i="6" s="1"/>
  <c r="F368" i="6"/>
  <c r="I368" i="6" s="1"/>
  <c r="F369" i="6"/>
  <c r="I369" i="6" s="1"/>
  <c r="F370" i="6"/>
  <c r="I370" i="6" s="1"/>
  <c r="F371" i="6"/>
  <c r="I371" i="6" s="1"/>
  <c r="F372" i="6"/>
  <c r="I372" i="6" s="1"/>
  <c r="F373" i="6"/>
  <c r="I373" i="6" s="1"/>
  <c r="F374" i="6"/>
  <c r="I374" i="6" s="1"/>
  <c r="F375" i="6"/>
  <c r="I375" i="6" s="1"/>
  <c r="F376" i="6"/>
  <c r="I376" i="6" s="1"/>
  <c r="F377" i="6"/>
  <c r="I377" i="6" s="1"/>
  <c r="F378" i="6"/>
  <c r="I378" i="6" s="1"/>
  <c r="F379" i="6"/>
  <c r="I379" i="6" s="1"/>
  <c r="F380" i="6"/>
  <c r="I380" i="6" s="1"/>
  <c r="F381" i="6"/>
  <c r="I381" i="6" s="1"/>
  <c r="F382" i="6"/>
  <c r="I382" i="6" s="1"/>
  <c r="F383" i="6"/>
  <c r="I383" i="6" s="1"/>
  <c r="F384" i="6"/>
  <c r="I384" i="6" s="1"/>
  <c r="F385" i="6"/>
  <c r="I385" i="6" s="1"/>
  <c r="F386" i="6"/>
  <c r="I386" i="6" s="1"/>
  <c r="F387" i="6"/>
  <c r="I387" i="6" s="1"/>
  <c r="F388" i="6"/>
  <c r="I388" i="6" s="1"/>
  <c r="F389" i="6"/>
  <c r="I389" i="6" s="1"/>
  <c r="F390" i="6"/>
  <c r="I390" i="6" s="1"/>
  <c r="F391" i="6"/>
  <c r="I391" i="6" s="1"/>
  <c r="F392" i="6"/>
  <c r="I392" i="6" s="1"/>
  <c r="F393" i="6"/>
  <c r="I393" i="6" s="1"/>
  <c r="F394" i="6"/>
  <c r="I394" i="6" s="1"/>
  <c r="F395" i="6"/>
  <c r="I395" i="6" s="1"/>
  <c r="F396" i="6"/>
  <c r="I396" i="6" s="1"/>
  <c r="F397" i="6"/>
  <c r="I397" i="6" s="1"/>
  <c r="F398" i="6"/>
  <c r="I398" i="6" s="1"/>
  <c r="F399" i="6"/>
  <c r="I399" i="6" s="1"/>
  <c r="F400" i="6"/>
  <c r="I400" i="6" s="1"/>
  <c r="F401" i="6"/>
  <c r="I401" i="6" s="1"/>
  <c r="F402" i="6"/>
  <c r="I402" i="6" s="1"/>
  <c r="F403" i="6"/>
  <c r="I403" i="6" s="1"/>
  <c r="F404" i="6"/>
  <c r="I404" i="6" s="1"/>
  <c r="F405" i="6"/>
  <c r="I405" i="6" s="1"/>
  <c r="F406" i="6"/>
  <c r="I406" i="6" s="1"/>
  <c r="F407" i="6"/>
  <c r="I407" i="6" s="1"/>
  <c r="F408" i="6"/>
  <c r="I408" i="6" s="1"/>
  <c r="F409" i="6"/>
  <c r="I409" i="6" s="1"/>
  <c r="F410" i="6"/>
  <c r="I410" i="6" s="1"/>
  <c r="F411" i="6"/>
  <c r="I411" i="6" s="1"/>
  <c r="F412" i="6"/>
  <c r="I412" i="6" s="1"/>
  <c r="F413" i="6"/>
  <c r="I413" i="6" s="1"/>
  <c r="F414" i="6"/>
  <c r="I414" i="6" s="1"/>
  <c r="F415" i="6"/>
  <c r="I415" i="6" s="1"/>
  <c r="F416" i="6"/>
  <c r="I416" i="6" s="1"/>
  <c r="F417" i="6"/>
  <c r="I417" i="6" s="1"/>
  <c r="F418" i="6"/>
  <c r="I418" i="6" s="1"/>
  <c r="F419" i="6"/>
  <c r="I419" i="6" s="1"/>
  <c r="F420" i="6"/>
  <c r="I420" i="6" s="1"/>
  <c r="F421" i="6"/>
  <c r="I421" i="6" s="1"/>
  <c r="F422" i="6"/>
  <c r="I422" i="6" s="1"/>
  <c r="F423" i="6"/>
  <c r="I423" i="6" s="1"/>
  <c r="F424" i="6"/>
  <c r="I424" i="6" s="1"/>
  <c r="F425" i="6"/>
  <c r="I425" i="6" s="1"/>
  <c r="F426" i="6"/>
  <c r="I426" i="6" s="1"/>
  <c r="F427" i="6"/>
  <c r="I427" i="6" s="1"/>
  <c r="F428" i="6"/>
  <c r="I428" i="6" s="1"/>
  <c r="F429" i="6"/>
  <c r="I429" i="6" s="1"/>
  <c r="F430" i="6"/>
  <c r="I430" i="6" s="1"/>
  <c r="F431" i="6"/>
  <c r="I431" i="6" s="1"/>
  <c r="F432" i="6"/>
  <c r="I432" i="6" s="1"/>
  <c r="F433" i="6"/>
  <c r="I433" i="6" s="1"/>
  <c r="F434" i="6"/>
  <c r="I434" i="6" s="1"/>
  <c r="F435" i="6"/>
  <c r="I435" i="6" s="1"/>
  <c r="F436" i="6"/>
  <c r="I436" i="6" s="1"/>
  <c r="F437" i="6"/>
  <c r="I437" i="6" s="1"/>
  <c r="F438" i="6"/>
  <c r="I438" i="6" s="1"/>
  <c r="F439" i="6"/>
  <c r="I439" i="6" s="1"/>
  <c r="F440" i="6"/>
  <c r="I440" i="6" s="1"/>
  <c r="F441" i="6"/>
  <c r="I441" i="6" s="1"/>
  <c r="F442" i="6"/>
  <c r="I442" i="6" s="1"/>
  <c r="F443" i="6"/>
  <c r="I443" i="6" s="1"/>
  <c r="F444" i="6"/>
  <c r="I444" i="6" s="1"/>
  <c r="F445" i="6"/>
  <c r="I445" i="6" s="1"/>
  <c r="F446" i="6"/>
  <c r="I446" i="6" s="1"/>
  <c r="F447" i="6"/>
  <c r="I447" i="6" s="1"/>
  <c r="F448" i="6"/>
  <c r="I448" i="6" s="1"/>
  <c r="F449" i="6"/>
  <c r="I449" i="6" s="1"/>
  <c r="F450" i="6"/>
  <c r="I450" i="6" s="1"/>
  <c r="F451" i="6"/>
  <c r="I451" i="6" s="1"/>
  <c r="F452" i="6"/>
  <c r="I452" i="6" s="1"/>
  <c r="F453" i="6"/>
  <c r="I453" i="6" s="1"/>
  <c r="F454" i="6"/>
  <c r="I454" i="6" s="1"/>
  <c r="F455" i="6"/>
  <c r="I455" i="6" s="1"/>
  <c r="F456" i="6"/>
  <c r="I456" i="6" s="1"/>
  <c r="F457" i="6"/>
  <c r="I457" i="6" s="1"/>
  <c r="F458" i="6"/>
  <c r="I458" i="6" s="1"/>
  <c r="F459" i="6"/>
  <c r="I459" i="6" s="1"/>
  <c r="F460" i="6"/>
  <c r="I460" i="6" s="1"/>
  <c r="F461" i="6"/>
  <c r="I461" i="6" s="1"/>
  <c r="F462" i="6"/>
  <c r="I462" i="6" s="1"/>
  <c r="F463" i="6"/>
  <c r="I463" i="6" s="1"/>
  <c r="F464" i="6"/>
  <c r="I464" i="6" s="1"/>
  <c r="F465" i="6"/>
  <c r="I465" i="6" s="1"/>
  <c r="F466" i="6"/>
  <c r="I466" i="6" s="1"/>
  <c r="F467" i="6"/>
  <c r="I467" i="6" s="1"/>
  <c r="F468" i="6"/>
  <c r="I468" i="6" s="1"/>
  <c r="F469" i="6"/>
  <c r="I469" i="6" s="1"/>
  <c r="F470" i="6"/>
  <c r="I470" i="6" s="1"/>
  <c r="F471" i="6"/>
  <c r="I471" i="6" s="1"/>
  <c r="F472" i="6"/>
  <c r="I472" i="6" s="1"/>
  <c r="F473" i="6"/>
  <c r="I473" i="6" s="1"/>
  <c r="F474" i="6"/>
  <c r="I474" i="6" s="1"/>
  <c r="F475" i="6"/>
  <c r="I475" i="6" s="1"/>
  <c r="F476" i="6"/>
  <c r="I476" i="6" s="1"/>
  <c r="F477" i="6"/>
  <c r="I477" i="6" s="1"/>
  <c r="F478" i="6"/>
  <c r="I478" i="6" s="1"/>
  <c r="F479" i="6"/>
  <c r="I479" i="6" s="1"/>
  <c r="F480" i="6"/>
  <c r="I480" i="6" s="1"/>
  <c r="F481" i="6"/>
  <c r="I481" i="6" s="1"/>
  <c r="F482" i="6"/>
  <c r="I482" i="6" s="1"/>
  <c r="F483" i="6"/>
  <c r="I483" i="6" s="1"/>
  <c r="F484" i="6"/>
  <c r="I484" i="6" s="1"/>
  <c r="F485" i="6"/>
  <c r="I485" i="6" s="1"/>
  <c r="F486" i="6"/>
  <c r="I486" i="6" s="1"/>
  <c r="F487" i="6"/>
  <c r="I487" i="6" s="1"/>
  <c r="F488" i="6"/>
  <c r="I488" i="6" s="1"/>
  <c r="F489" i="6"/>
  <c r="I489" i="6" s="1"/>
  <c r="F490" i="6"/>
  <c r="I490" i="6" s="1"/>
  <c r="F491" i="6"/>
  <c r="I491" i="6" s="1"/>
  <c r="F492" i="6"/>
  <c r="I492" i="6" s="1"/>
  <c r="F493" i="6"/>
  <c r="I493" i="6" s="1"/>
  <c r="F494" i="6"/>
  <c r="I494" i="6" s="1"/>
  <c r="F495" i="6"/>
  <c r="I495" i="6" s="1"/>
  <c r="F496" i="6"/>
  <c r="I496" i="6" s="1"/>
  <c r="F497" i="6"/>
  <c r="I497" i="6" s="1"/>
  <c r="F498" i="6"/>
  <c r="I498" i="6" s="1"/>
  <c r="F499" i="6"/>
  <c r="I499" i="6" s="1"/>
  <c r="F500" i="6"/>
  <c r="I500" i="6" s="1"/>
  <c r="F501" i="6"/>
  <c r="I501" i="6" s="1"/>
  <c r="F502" i="6"/>
  <c r="I502" i="6" s="1"/>
  <c r="F503" i="6"/>
  <c r="I503" i="6" s="1"/>
  <c r="F504" i="6"/>
  <c r="I504" i="6" s="1"/>
  <c r="F505" i="6"/>
  <c r="I505" i="6" s="1"/>
  <c r="F506" i="6"/>
  <c r="I506" i="6" s="1"/>
  <c r="F507" i="6"/>
  <c r="I507" i="6" s="1"/>
  <c r="F508" i="6"/>
  <c r="I508" i="6" s="1"/>
  <c r="F509" i="6"/>
  <c r="I509" i="6" s="1"/>
  <c r="F510" i="6"/>
  <c r="I510" i="6" s="1"/>
  <c r="F511" i="6"/>
  <c r="I511" i="6" s="1"/>
  <c r="F512" i="6"/>
  <c r="I512" i="6" s="1"/>
  <c r="F513" i="6"/>
  <c r="I513" i="6" s="1"/>
  <c r="F514" i="6"/>
  <c r="I514" i="6" s="1"/>
  <c r="F515" i="6"/>
  <c r="I515" i="6" s="1"/>
  <c r="F516" i="6"/>
  <c r="I516" i="6" s="1"/>
  <c r="F517" i="6"/>
  <c r="I517" i="6" s="1"/>
  <c r="F518" i="6"/>
  <c r="I518" i="6" s="1"/>
  <c r="F519" i="6"/>
  <c r="I519" i="6" s="1"/>
  <c r="F520" i="6"/>
  <c r="I520" i="6" s="1"/>
  <c r="F521" i="6"/>
  <c r="I521" i="6" s="1"/>
  <c r="F522" i="6"/>
  <c r="I522" i="6" s="1"/>
  <c r="F523" i="6"/>
  <c r="I523" i="6" s="1"/>
  <c r="F524" i="6"/>
  <c r="I524" i="6" s="1"/>
  <c r="F525" i="6"/>
  <c r="I525" i="6" s="1"/>
  <c r="F526" i="6"/>
  <c r="I526" i="6" s="1"/>
  <c r="F527" i="6"/>
  <c r="I527" i="6" s="1"/>
  <c r="F528" i="6"/>
  <c r="I528" i="6" s="1"/>
  <c r="F529" i="6"/>
  <c r="I529" i="6" s="1"/>
  <c r="F530" i="6"/>
  <c r="I530" i="6" s="1"/>
  <c r="F531" i="6"/>
  <c r="I531" i="6" s="1"/>
  <c r="F532" i="6"/>
  <c r="I532" i="6" s="1"/>
  <c r="F533" i="6"/>
  <c r="I533" i="6" s="1"/>
  <c r="F534" i="6"/>
  <c r="I534" i="6" s="1"/>
  <c r="F535" i="6"/>
  <c r="I535" i="6" s="1"/>
  <c r="F536" i="6"/>
  <c r="I536" i="6" s="1"/>
  <c r="F537" i="6"/>
  <c r="I537" i="6" s="1"/>
  <c r="F538" i="6"/>
  <c r="I538" i="6" s="1"/>
  <c r="F539" i="6"/>
  <c r="I539" i="6" s="1"/>
  <c r="F540" i="6"/>
  <c r="I540" i="6" s="1"/>
  <c r="F541" i="6"/>
  <c r="I541" i="6" s="1"/>
  <c r="F542" i="6"/>
  <c r="I542" i="6" s="1"/>
  <c r="F543" i="6"/>
  <c r="I543" i="6" s="1"/>
  <c r="F544" i="6"/>
  <c r="I544" i="6" s="1"/>
  <c r="F545" i="6"/>
  <c r="I545" i="6" s="1"/>
  <c r="F546" i="6"/>
  <c r="I546" i="6" s="1"/>
  <c r="F547" i="6"/>
  <c r="I547" i="6" s="1"/>
  <c r="F548" i="6"/>
  <c r="I548" i="6" s="1"/>
  <c r="F549" i="6"/>
  <c r="I549" i="6" s="1"/>
  <c r="F550" i="6"/>
  <c r="I550" i="6" s="1"/>
  <c r="F551" i="6"/>
  <c r="I551" i="6" s="1"/>
  <c r="F552" i="6"/>
  <c r="I552" i="6" s="1"/>
  <c r="F553" i="6"/>
  <c r="I553" i="6" s="1"/>
  <c r="F554" i="6"/>
  <c r="I554" i="6" s="1"/>
  <c r="F555" i="6"/>
  <c r="I555" i="6" s="1"/>
  <c r="F556" i="6"/>
  <c r="I556" i="6" s="1"/>
  <c r="F557" i="6"/>
  <c r="I557" i="6" s="1"/>
  <c r="F558" i="6"/>
  <c r="I558" i="6" s="1"/>
  <c r="F559" i="6"/>
  <c r="I559" i="6" s="1"/>
  <c r="F560" i="6"/>
  <c r="I560" i="6" s="1"/>
  <c r="F561" i="6"/>
  <c r="I561" i="6" s="1"/>
  <c r="F562" i="6"/>
  <c r="I562" i="6" s="1"/>
  <c r="F563" i="6"/>
  <c r="I563" i="6" s="1"/>
  <c r="F564" i="6"/>
  <c r="I564" i="6" s="1"/>
  <c r="F565" i="6"/>
  <c r="I565" i="6" s="1"/>
  <c r="F566" i="6"/>
  <c r="I566" i="6" s="1"/>
  <c r="F567" i="6"/>
  <c r="I567" i="6" s="1"/>
  <c r="F568" i="6"/>
  <c r="I568" i="6" s="1"/>
  <c r="F569" i="6"/>
  <c r="I569" i="6" s="1"/>
  <c r="F570" i="6"/>
  <c r="I570" i="6" s="1"/>
  <c r="F571" i="6"/>
  <c r="I571" i="6" s="1"/>
  <c r="F572" i="6"/>
  <c r="I572" i="6" s="1"/>
  <c r="F573" i="6"/>
  <c r="I573" i="6" s="1"/>
  <c r="F574" i="6"/>
  <c r="I574" i="6" s="1"/>
  <c r="F575" i="6"/>
  <c r="I575" i="6" s="1"/>
  <c r="F576" i="6"/>
  <c r="I576" i="6" s="1"/>
  <c r="F577" i="6"/>
  <c r="I577" i="6" s="1"/>
  <c r="F578" i="6"/>
  <c r="I578" i="6" s="1"/>
  <c r="F579" i="6"/>
  <c r="I579" i="6" s="1"/>
  <c r="F580" i="6"/>
  <c r="I580" i="6" s="1"/>
  <c r="F581" i="6"/>
  <c r="I581" i="6" s="1"/>
  <c r="F582" i="6"/>
  <c r="I582" i="6" s="1"/>
  <c r="F583" i="6"/>
  <c r="I583" i="6" s="1"/>
  <c r="F584" i="6"/>
  <c r="I584" i="6" s="1"/>
  <c r="F585" i="6"/>
  <c r="I585" i="6" s="1"/>
  <c r="F586" i="6"/>
  <c r="I586" i="6" s="1"/>
  <c r="F587" i="6"/>
  <c r="I587" i="6" s="1"/>
  <c r="F588" i="6"/>
  <c r="I588" i="6" s="1"/>
  <c r="F589" i="6"/>
  <c r="I589" i="6" s="1"/>
  <c r="F590" i="6"/>
  <c r="I590" i="6" s="1"/>
  <c r="F591" i="6"/>
  <c r="I591" i="6" s="1"/>
  <c r="F592" i="6"/>
  <c r="I592" i="6" s="1"/>
  <c r="F593" i="6"/>
  <c r="I593" i="6" s="1"/>
  <c r="F594" i="6"/>
  <c r="I594" i="6" s="1"/>
  <c r="F595" i="6"/>
  <c r="I595" i="6" s="1"/>
  <c r="F596" i="6"/>
  <c r="I596" i="6" s="1"/>
  <c r="F597" i="6"/>
  <c r="I597" i="6" s="1"/>
  <c r="F598" i="6"/>
  <c r="I598" i="6" s="1"/>
  <c r="F599" i="6"/>
  <c r="I599" i="6" s="1"/>
  <c r="F600" i="6"/>
  <c r="I600" i="6" s="1"/>
  <c r="F601" i="6"/>
  <c r="I601" i="6" s="1"/>
  <c r="F602" i="6"/>
  <c r="I602" i="6" s="1"/>
  <c r="F603" i="6"/>
  <c r="I603" i="6" s="1"/>
  <c r="F604" i="6"/>
  <c r="I604" i="6" s="1"/>
  <c r="F605" i="6"/>
  <c r="I605" i="6" s="1"/>
  <c r="F606" i="6"/>
  <c r="I606" i="6" s="1"/>
  <c r="F607" i="6"/>
  <c r="I607" i="6" s="1"/>
  <c r="F608" i="6"/>
  <c r="I608" i="6" s="1"/>
  <c r="F609" i="6"/>
  <c r="I609" i="6" s="1"/>
  <c r="F610" i="6"/>
  <c r="I610" i="6" s="1"/>
  <c r="F611" i="6"/>
  <c r="I611" i="6" s="1"/>
  <c r="F612" i="6"/>
  <c r="I612" i="6" s="1"/>
  <c r="F613" i="6"/>
  <c r="I613" i="6" s="1"/>
  <c r="F614" i="6"/>
  <c r="I614" i="6" s="1"/>
  <c r="F615" i="6"/>
  <c r="I615" i="6" s="1"/>
  <c r="F616" i="6"/>
  <c r="I616" i="6" s="1"/>
  <c r="F617" i="6"/>
  <c r="I617" i="6" s="1"/>
  <c r="F618" i="6"/>
  <c r="I618" i="6" s="1"/>
  <c r="F619" i="6"/>
  <c r="I619" i="6" s="1"/>
  <c r="F620" i="6"/>
  <c r="I620" i="6" s="1"/>
  <c r="F621" i="6"/>
  <c r="I621" i="6" s="1"/>
  <c r="F622" i="6"/>
  <c r="I622" i="6" s="1"/>
  <c r="F623" i="6"/>
  <c r="I623" i="6" s="1"/>
  <c r="F624" i="6"/>
  <c r="I624" i="6" s="1"/>
  <c r="F625" i="6"/>
  <c r="I625" i="6" s="1"/>
  <c r="F626" i="6"/>
  <c r="I626" i="6" s="1"/>
  <c r="F627" i="6"/>
  <c r="I627" i="6" s="1"/>
  <c r="F628" i="6"/>
  <c r="I628" i="6" s="1"/>
  <c r="F629" i="6"/>
  <c r="I629" i="6" s="1"/>
  <c r="F630" i="6"/>
  <c r="I630" i="6" s="1"/>
  <c r="F631" i="6"/>
  <c r="I631" i="6" s="1"/>
  <c r="F632" i="6"/>
  <c r="I632" i="6" s="1"/>
  <c r="F633" i="6"/>
  <c r="I633" i="6" s="1"/>
  <c r="F634" i="6"/>
  <c r="I634" i="6" s="1"/>
  <c r="F635" i="6"/>
  <c r="I635" i="6" s="1"/>
  <c r="F636" i="6"/>
  <c r="I636" i="6" s="1"/>
  <c r="F637" i="6"/>
  <c r="I637" i="6" s="1"/>
  <c r="F638" i="6"/>
  <c r="I638" i="6" s="1"/>
  <c r="F639" i="6"/>
  <c r="I639" i="6" s="1"/>
  <c r="F640" i="6"/>
  <c r="I640" i="6" s="1"/>
  <c r="F641" i="6"/>
  <c r="I641" i="6" s="1"/>
  <c r="F642" i="6"/>
  <c r="I642" i="6" s="1"/>
  <c r="F643" i="6"/>
  <c r="I643" i="6" s="1"/>
  <c r="F644" i="6"/>
  <c r="I644" i="6" s="1"/>
  <c r="F645" i="6"/>
  <c r="I645" i="6" s="1"/>
  <c r="F646" i="6"/>
  <c r="I646" i="6" s="1"/>
  <c r="F647" i="6"/>
  <c r="I647" i="6" s="1"/>
  <c r="F648" i="6"/>
  <c r="I648" i="6" s="1"/>
  <c r="F649" i="6"/>
  <c r="I649" i="6" s="1"/>
  <c r="F650" i="6"/>
  <c r="I650" i="6" s="1"/>
  <c r="F651" i="6"/>
  <c r="I651" i="6" s="1"/>
  <c r="F652" i="6"/>
  <c r="I652" i="6" s="1"/>
  <c r="F653" i="6"/>
  <c r="I653" i="6" s="1"/>
  <c r="F654" i="6"/>
  <c r="I654" i="6" s="1"/>
  <c r="F655" i="6"/>
  <c r="I655" i="6" s="1"/>
  <c r="F656" i="6"/>
  <c r="I656" i="6" s="1"/>
  <c r="F657" i="6"/>
  <c r="I657" i="6" s="1"/>
  <c r="F658" i="6"/>
  <c r="I658" i="6" s="1"/>
  <c r="F659" i="6"/>
  <c r="I659" i="6" s="1"/>
  <c r="F660" i="6"/>
  <c r="I660" i="6" s="1"/>
  <c r="F661" i="6"/>
  <c r="I661" i="6" s="1"/>
  <c r="F662" i="6"/>
  <c r="I662" i="6" s="1"/>
  <c r="F663" i="6"/>
  <c r="I663" i="6" s="1"/>
  <c r="F664" i="6"/>
  <c r="I664" i="6" s="1"/>
  <c r="F665" i="6"/>
  <c r="I665" i="6" s="1"/>
  <c r="F666" i="6"/>
  <c r="I666" i="6" s="1"/>
  <c r="F667" i="6"/>
  <c r="I667" i="6" s="1"/>
  <c r="F668" i="6"/>
  <c r="I668" i="6" s="1"/>
  <c r="F669" i="6"/>
  <c r="I669" i="6" s="1"/>
  <c r="F670" i="6"/>
  <c r="I670" i="6" s="1"/>
  <c r="F671" i="6"/>
  <c r="I671" i="6" s="1"/>
  <c r="F672" i="6"/>
  <c r="I672" i="6" s="1"/>
  <c r="F673" i="6"/>
  <c r="I673" i="6" s="1"/>
  <c r="F674" i="6"/>
  <c r="I674" i="6" s="1"/>
  <c r="F675" i="6"/>
  <c r="I675" i="6" s="1"/>
  <c r="F676" i="6"/>
  <c r="I676" i="6" s="1"/>
  <c r="F677" i="6"/>
  <c r="I677" i="6" s="1"/>
  <c r="F678" i="6"/>
  <c r="I678" i="6" s="1"/>
  <c r="F679" i="6"/>
  <c r="I679" i="6" s="1"/>
  <c r="F680" i="6"/>
  <c r="I680" i="6" s="1"/>
  <c r="F681" i="6"/>
  <c r="I681" i="6" s="1"/>
  <c r="F682" i="6"/>
  <c r="I682" i="6" s="1"/>
  <c r="F683" i="6"/>
  <c r="I683" i="6" s="1"/>
  <c r="F684" i="6"/>
  <c r="I684" i="6" s="1"/>
  <c r="F685" i="6"/>
  <c r="I685" i="6" s="1"/>
  <c r="F686" i="6"/>
  <c r="I686" i="6" s="1"/>
  <c r="F687" i="6"/>
  <c r="I687" i="6" s="1"/>
  <c r="F688" i="6"/>
  <c r="I688" i="6" s="1"/>
  <c r="F689" i="6"/>
  <c r="I689" i="6" s="1"/>
  <c r="F690" i="6"/>
  <c r="I690" i="6" s="1"/>
  <c r="F691" i="6"/>
  <c r="I691" i="6" s="1"/>
  <c r="F692" i="6"/>
  <c r="I692" i="6" s="1"/>
  <c r="F693" i="6"/>
  <c r="I693" i="6" s="1"/>
  <c r="F694" i="6"/>
  <c r="I694" i="6" s="1"/>
  <c r="F695" i="6"/>
  <c r="I695" i="6" s="1"/>
  <c r="F696" i="6"/>
  <c r="I696" i="6" s="1"/>
  <c r="F697" i="6"/>
  <c r="I697" i="6" s="1"/>
  <c r="F698" i="6"/>
  <c r="I698" i="6" s="1"/>
  <c r="F699" i="6"/>
  <c r="I699" i="6" s="1"/>
  <c r="F700" i="6"/>
  <c r="I700" i="6" s="1"/>
  <c r="F701" i="6"/>
  <c r="I701" i="6" s="1"/>
  <c r="F702" i="6"/>
  <c r="I702" i="6" s="1"/>
  <c r="F703" i="6"/>
  <c r="I703" i="6" s="1"/>
  <c r="F704" i="6"/>
  <c r="I704" i="6" s="1"/>
  <c r="F705" i="6"/>
  <c r="I705" i="6" s="1"/>
  <c r="F706" i="6"/>
  <c r="I706" i="6" s="1"/>
  <c r="F707" i="6"/>
  <c r="I707" i="6" s="1"/>
  <c r="F708" i="6"/>
  <c r="I708" i="6" s="1"/>
  <c r="F709" i="6"/>
  <c r="I709" i="6" s="1"/>
  <c r="F710" i="6"/>
  <c r="I710" i="6" s="1"/>
  <c r="F711" i="6"/>
  <c r="I711" i="6" s="1"/>
  <c r="F712" i="6"/>
  <c r="I712" i="6" s="1"/>
  <c r="F713" i="6"/>
  <c r="I713" i="6" s="1"/>
  <c r="F714" i="6"/>
  <c r="I714" i="6" s="1"/>
  <c r="F715" i="6"/>
  <c r="I715" i="6" s="1"/>
  <c r="F716" i="6"/>
  <c r="I716" i="6" s="1"/>
  <c r="F717" i="6"/>
  <c r="I717" i="6" s="1"/>
  <c r="F718" i="6"/>
  <c r="I718" i="6" s="1"/>
  <c r="F719" i="6"/>
  <c r="I719" i="6" s="1"/>
  <c r="F720" i="6"/>
  <c r="I720" i="6" s="1"/>
  <c r="F721" i="6"/>
  <c r="I721" i="6" s="1"/>
  <c r="F722" i="6"/>
  <c r="I722" i="6" s="1"/>
  <c r="F723" i="6"/>
  <c r="I723" i="6" s="1"/>
  <c r="F724" i="6"/>
  <c r="I724" i="6" s="1"/>
  <c r="F725" i="6"/>
  <c r="I725" i="6" s="1"/>
  <c r="F726" i="6"/>
  <c r="I726" i="6" s="1"/>
  <c r="F727" i="6"/>
  <c r="I727" i="6" s="1"/>
  <c r="F728" i="6"/>
  <c r="I728" i="6" s="1"/>
  <c r="F729" i="6"/>
  <c r="I729" i="6" s="1"/>
  <c r="F730" i="6"/>
  <c r="I730" i="6" s="1"/>
  <c r="F731" i="6"/>
  <c r="I731" i="6" s="1"/>
  <c r="F732" i="6"/>
  <c r="I732" i="6" s="1"/>
  <c r="F733" i="6"/>
  <c r="I733" i="6" s="1"/>
  <c r="F734" i="6"/>
  <c r="I734" i="6" s="1"/>
  <c r="F735" i="6"/>
  <c r="I735" i="6" s="1"/>
  <c r="F736" i="6"/>
  <c r="I736" i="6" s="1"/>
  <c r="F737" i="6"/>
  <c r="I737" i="6" s="1"/>
  <c r="F738" i="6"/>
  <c r="I738" i="6" s="1"/>
  <c r="F739" i="6"/>
  <c r="I739" i="6" s="1"/>
  <c r="F740" i="6"/>
  <c r="I740" i="6" s="1"/>
  <c r="F741" i="6"/>
  <c r="I741" i="6" s="1"/>
  <c r="F742" i="6"/>
  <c r="I742" i="6" s="1"/>
  <c r="F743" i="6"/>
  <c r="I743" i="6" s="1"/>
  <c r="F744" i="6"/>
  <c r="I744" i="6" s="1"/>
  <c r="F745" i="6"/>
  <c r="I745" i="6" s="1"/>
  <c r="F746" i="6"/>
  <c r="I746" i="6" s="1"/>
  <c r="F747" i="6"/>
  <c r="I747" i="6" s="1"/>
  <c r="F748" i="6"/>
  <c r="I748" i="6" s="1"/>
  <c r="F749" i="6"/>
  <c r="I749" i="6" s="1"/>
  <c r="F750" i="6"/>
  <c r="I750" i="6" s="1"/>
  <c r="F751" i="6"/>
  <c r="I751" i="6" s="1"/>
  <c r="F752" i="6"/>
  <c r="I752" i="6" s="1"/>
  <c r="F753" i="6"/>
  <c r="I753" i="6" s="1"/>
  <c r="F754" i="6"/>
  <c r="I754" i="6" s="1"/>
  <c r="F755" i="6"/>
  <c r="I755" i="6" s="1"/>
  <c r="F756" i="6"/>
  <c r="I756" i="6" s="1"/>
  <c r="F757" i="6"/>
  <c r="I757" i="6" s="1"/>
  <c r="F758" i="6"/>
  <c r="I758" i="6" s="1"/>
  <c r="F759" i="6"/>
  <c r="I759" i="6" s="1"/>
  <c r="F760" i="6"/>
  <c r="I760" i="6" s="1"/>
  <c r="F761" i="6"/>
  <c r="I761" i="6" s="1"/>
  <c r="F762" i="6"/>
  <c r="I762" i="6" s="1"/>
  <c r="F763" i="6"/>
  <c r="I763" i="6" s="1"/>
  <c r="F764" i="6"/>
  <c r="I764" i="6" s="1"/>
  <c r="F765" i="6"/>
  <c r="I765" i="6" s="1"/>
  <c r="F766" i="6"/>
  <c r="I766" i="6" s="1"/>
  <c r="F767" i="6"/>
  <c r="I767" i="6" s="1"/>
  <c r="F768" i="6"/>
  <c r="I768" i="6" s="1"/>
  <c r="F769" i="6"/>
  <c r="I769" i="6" s="1"/>
  <c r="F770" i="6"/>
  <c r="I770" i="6" s="1"/>
  <c r="F771" i="6"/>
  <c r="I771" i="6" s="1"/>
  <c r="F772" i="6"/>
  <c r="I772" i="6" s="1"/>
  <c r="F773" i="6"/>
  <c r="I773" i="6" s="1"/>
  <c r="F774" i="6"/>
  <c r="I774" i="6" s="1"/>
  <c r="F775" i="6"/>
  <c r="I775" i="6" s="1"/>
  <c r="F776" i="6"/>
  <c r="I776" i="6" s="1"/>
  <c r="F777" i="6"/>
  <c r="I777" i="6" s="1"/>
  <c r="F778" i="6"/>
  <c r="I778" i="6" s="1"/>
  <c r="F779" i="6"/>
  <c r="I779" i="6" s="1"/>
  <c r="F780" i="6"/>
  <c r="I780" i="6" s="1"/>
  <c r="F781" i="6"/>
  <c r="I781" i="6" s="1"/>
  <c r="F782" i="6"/>
  <c r="I782" i="6" s="1"/>
  <c r="F783" i="6"/>
  <c r="I783" i="6" s="1"/>
  <c r="F784" i="6"/>
  <c r="I784" i="6" s="1"/>
  <c r="F785" i="6"/>
  <c r="I785" i="6" s="1"/>
  <c r="F786" i="6"/>
  <c r="I786" i="6" s="1"/>
  <c r="F787" i="6"/>
  <c r="I787" i="6" s="1"/>
  <c r="F788" i="6"/>
  <c r="I788" i="6" s="1"/>
  <c r="F789" i="6"/>
  <c r="I789" i="6" s="1"/>
  <c r="F790" i="6"/>
  <c r="I790" i="6" s="1"/>
  <c r="F791" i="6"/>
  <c r="I791" i="6" s="1"/>
  <c r="F792" i="6"/>
  <c r="I792" i="6" s="1"/>
  <c r="F793" i="6"/>
  <c r="I793" i="6" s="1"/>
  <c r="F794" i="6"/>
  <c r="I794" i="6" s="1"/>
  <c r="F795" i="6"/>
  <c r="I795" i="6" s="1"/>
  <c r="F796" i="6"/>
  <c r="I796" i="6" s="1"/>
  <c r="F797" i="6"/>
  <c r="I797" i="6" s="1"/>
  <c r="F798" i="6"/>
  <c r="I798" i="6" s="1"/>
  <c r="F799" i="6"/>
  <c r="I799" i="6" s="1"/>
  <c r="F800" i="6"/>
  <c r="I800" i="6" s="1"/>
  <c r="F801" i="6"/>
  <c r="I801" i="6" s="1"/>
  <c r="F802" i="6"/>
  <c r="I802" i="6" s="1"/>
  <c r="F803" i="6"/>
  <c r="I803" i="6" s="1"/>
  <c r="F804" i="6"/>
  <c r="I804" i="6" s="1"/>
  <c r="F805" i="6"/>
  <c r="I805" i="6" s="1"/>
  <c r="F806" i="6"/>
  <c r="I806" i="6" s="1"/>
  <c r="F807" i="6"/>
  <c r="I807" i="6" s="1"/>
  <c r="F808" i="6"/>
  <c r="I808" i="6" s="1"/>
  <c r="F809" i="6"/>
  <c r="I809" i="6" s="1"/>
  <c r="F810" i="6"/>
  <c r="I810" i="6" s="1"/>
  <c r="F811" i="6"/>
  <c r="I811" i="6" s="1"/>
  <c r="F812" i="6"/>
  <c r="I812" i="6" s="1"/>
  <c r="F813" i="6"/>
  <c r="I813" i="6" s="1"/>
  <c r="F814" i="6"/>
  <c r="I814" i="6" s="1"/>
  <c r="F815" i="6"/>
  <c r="I815" i="6" s="1"/>
  <c r="F816" i="6"/>
  <c r="I816" i="6" s="1"/>
  <c r="F817" i="6"/>
  <c r="I817" i="6" s="1"/>
  <c r="F818" i="6"/>
  <c r="I818" i="6" s="1"/>
  <c r="F819" i="6"/>
  <c r="I819" i="6" s="1"/>
  <c r="F820" i="6"/>
  <c r="I820" i="6" s="1"/>
  <c r="F821" i="6"/>
  <c r="I821" i="6" s="1"/>
  <c r="F822" i="6"/>
  <c r="I822" i="6" s="1"/>
  <c r="F823" i="6"/>
  <c r="I823" i="6" s="1"/>
  <c r="F824" i="6"/>
  <c r="I824" i="6" s="1"/>
  <c r="F825" i="6"/>
  <c r="I825" i="6" s="1"/>
  <c r="F826" i="6"/>
  <c r="I826" i="6" s="1"/>
  <c r="F827" i="6"/>
  <c r="I827" i="6" s="1"/>
  <c r="F828" i="6"/>
  <c r="I828" i="6" s="1"/>
  <c r="F829" i="6"/>
  <c r="I829" i="6" s="1"/>
  <c r="F830" i="6"/>
  <c r="I830" i="6" s="1"/>
  <c r="F831" i="6"/>
  <c r="I831" i="6" s="1"/>
  <c r="F832" i="6"/>
  <c r="I832" i="6" s="1"/>
  <c r="F833" i="6"/>
  <c r="I833" i="6" s="1"/>
  <c r="F834" i="6"/>
  <c r="I834" i="6" s="1"/>
  <c r="F835" i="6"/>
  <c r="I835" i="6" s="1"/>
  <c r="F836" i="6"/>
  <c r="I836" i="6" s="1"/>
  <c r="F837" i="6"/>
  <c r="I837" i="6" s="1"/>
  <c r="F838" i="6"/>
  <c r="I838" i="6" s="1"/>
  <c r="F839" i="6"/>
  <c r="I839" i="6" s="1"/>
  <c r="F840" i="6"/>
  <c r="I840" i="6" s="1"/>
  <c r="F841" i="6"/>
  <c r="I841" i="6" s="1"/>
  <c r="F842" i="6"/>
  <c r="I842" i="6" s="1"/>
  <c r="F843" i="6"/>
  <c r="I843" i="6" s="1"/>
  <c r="F844" i="6"/>
  <c r="I844" i="6" s="1"/>
  <c r="F845" i="6"/>
  <c r="I845" i="6" s="1"/>
  <c r="F846" i="6"/>
  <c r="I846" i="6" s="1"/>
  <c r="F847" i="6"/>
  <c r="I847" i="6" s="1"/>
  <c r="F848" i="6"/>
  <c r="I848" i="6" s="1"/>
  <c r="F849" i="6"/>
  <c r="I849" i="6" s="1"/>
  <c r="F850" i="6"/>
  <c r="I850" i="6" s="1"/>
  <c r="F851" i="6"/>
  <c r="I851" i="6" s="1"/>
  <c r="F852" i="6"/>
  <c r="I852" i="6" s="1"/>
  <c r="F853" i="6"/>
  <c r="I853" i="6" s="1"/>
  <c r="F854" i="6"/>
  <c r="I854" i="6" s="1"/>
  <c r="F855" i="6"/>
  <c r="I855" i="6" s="1"/>
  <c r="F856" i="6"/>
  <c r="I856" i="6" s="1"/>
  <c r="F857" i="6"/>
  <c r="I857" i="6" s="1"/>
  <c r="F858" i="6"/>
  <c r="I858" i="6" s="1"/>
  <c r="F859" i="6"/>
  <c r="I859" i="6" s="1"/>
  <c r="F860" i="6"/>
  <c r="I860" i="6" s="1"/>
  <c r="F861" i="6"/>
  <c r="I861" i="6" s="1"/>
  <c r="F862" i="6"/>
  <c r="I862" i="6" s="1"/>
  <c r="F863" i="6"/>
  <c r="I863" i="6" s="1"/>
  <c r="F864" i="6"/>
  <c r="I864" i="6" s="1"/>
  <c r="F865" i="6"/>
  <c r="I865" i="6" s="1"/>
  <c r="F866" i="6"/>
  <c r="I866" i="6" s="1"/>
  <c r="F867" i="6"/>
  <c r="I867" i="6" s="1"/>
  <c r="F868" i="6"/>
  <c r="I868" i="6" s="1"/>
  <c r="F869" i="6"/>
  <c r="I869" i="6" s="1"/>
  <c r="F870" i="6"/>
  <c r="I870" i="6" s="1"/>
  <c r="F871" i="6"/>
  <c r="I871" i="6" s="1"/>
  <c r="F872" i="6"/>
  <c r="I872" i="6" s="1"/>
  <c r="F873" i="6"/>
  <c r="I873" i="6" s="1"/>
  <c r="F874" i="6"/>
  <c r="I874" i="6" s="1"/>
  <c r="F875" i="6"/>
  <c r="I875" i="6" s="1"/>
  <c r="F876" i="6"/>
  <c r="I876" i="6" s="1"/>
  <c r="F877" i="6"/>
  <c r="I877" i="6" s="1"/>
  <c r="F878" i="6"/>
  <c r="I878" i="6" s="1"/>
  <c r="F879" i="6"/>
  <c r="I879" i="6" s="1"/>
  <c r="F880" i="6"/>
  <c r="I880" i="6" s="1"/>
  <c r="F881" i="6"/>
  <c r="I881" i="6" s="1"/>
  <c r="F882" i="6"/>
  <c r="I882" i="6" s="1"/>
  <c r="F883" i="6"/>
  <c r="I883" i="6" s="1"/>
  <c r="F884" i="6"/>
  <c r="I884" i="6" s="1"/>
  <c r="F885" i="6"/>
  <c r="I885" i="6" s="1"/>
  <c r="F886" i="6"/>
  <c r="I886" i="6" s="1"/>
  <c r="F887" i="6"/>
  <c r="I887" i="6" s="1"/>
  <c r="F888" i="6"/>
  <c r="I888" i="6" s="1"/>
  <c r="F889" i="6"/>
  <c r="I889" i="6" s="1"/>
  <c r="F890" i="6"/>
  <c r="I890" i="6" s="1"/>
  <c r="F891" i="6"/>
  <c r="I891" i="6" s="1"/>
  <c r="F892" i="6"/>
  <c r="I892" i="6" s="1"/>
  <c r="F893" i="6"/>
  <c r="I893" i="6" s="1"/>
  <c r="F894" i="6"/>
  <c r="I894" i="6" s="1"/>
  <c r="F895" i="6"/>
  <c r="I895" i="6" s="1"/>
  <c r="F896" i="6"/>
  <c r="I896" i="6" s="1"/>
  <c r="F897" i="6"/>
  <c r="I897" i="6" s="1"/>
  <c r="F898" i="6"/>
  <c r="I898" i="6" s="1"/>
  <c r="F899" i="6"/>
  <c r="I899" i="6" s="1"/>
  <c r="F900" i="6"/>
  <c r="I900" i="6" s="1"/>
  <c r="F901" i="6"/>
  <c r="I901" i="6" s="1"/>
  <c r="F902" i="6"/>
  <c r="I902" i="6" s="1"/>
  <c r="F903" i="6"/>
  <c r="I903" i="6" s="1"/>
  <c r="F904" i="6"/>
  <c r="I904" i="6" s="1"/>
  <c r="F905" i="6"/>
  <c r="I905" i="6" s="1"/>
  <c r="F906" i="6"/>
  <c r="I906" i="6" s="1"/>
  <c r="F907" i="6"/>
  <c r="I907" i="6" s="1"/>
  <c r="F908" i="6"/>
  <c r="I908" i="6" s="1"/>
  <c r="F909" i="6"/>
  <c r="I909" i="6" s="1"/>
  <c r="F910" i="6"/>
  <c r="I910" i="6" s="1"/>
  <c r="F911" i="6"/>
  <c r="I911" i="6" s="1"/>
  <c r="F912" i="6"/>
  <c r="I912" i="6" s="1"/>
  <c r="F913" i="6"/>
  <c r="I913" i="6" s="1"/>
  <c r="F914" i="6"/>
  <c r="I914" i="6" s="1"/>
  <c r="F915" i="6"/>
  <c r="I915" i="6" s="1"/>
  <c r="F916" i="6"/>
  <c r="I916" i="6" s="1"/>
  <c r="F917" i="6"/>
  <c r="I917" i="6" s="1"/>
  <c r="F918" i="6"/>
  <c r="I918" i="6" s="1"/>
  <c r="F919" i="6"/>
  <c r="I919" i="6" s="1"/>
  <c r="F920" i="6"/>
  <c r="I920" i="6" s="1"/>
  <c r="F921" i="6"/>
  <c r="I921" i="6" s="1"/>
  <c r="F922" i="6"/>
  <c r="I922" i="6" s="1"/>
  <c r="F923" i="6"/>
  <c r="I923" i="6" s="1"/>
  <c r="F924" i="6"/>
  <c r="I924" i="6" s="1"/>
  <c r="F925" i="6"/>
  <c r="I925" i="6" s="1"/>
  <c r="F926" i="6"/>
  <c r="I926" i="6" s="1"/>
  <c r="F927" i="6"/>
  <c r="I927" i="6" s="1"/>
  <c r="F928" i="6"/>
  <c r="I928" i="6" s="1"/>
  <c r="F929" i="6"/>
  <c r="I929" i="6"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F3" i="6"/>
  <c r="H3" i="6"/>
  <c r="I15" i="6" l="1"/>
  <c r="I14" i="6"/>
  <c r="I11" i="6"/>
  <c r="I10" i="6"/>
  <c r="I7" i="6"/>
  <c r="I3" i="6"/>
  <c r="B3" i="6"/>
  <c r="F5" i="1" l="1"/>
  <c r="F6" i="1"/>
  <c r="F7" i="1"/>
  <c r="F8" i="1"/>
  <c r="F9" i="1"/>
  <c r="F4" i="1"/>
</calcChain>
</file>

<file path=xl/sharedStrings.xml><?xml version="1.0" encoding="utf-8"?>
<sst xmlns="http://schemas.openxmlformats.org/spreadsheetml/2006/main" count="273" uniqueCount="116">
  <si>
    <t>ANÁLISIS DE RIESGOS</t>
  </si>
  <si>
    <t>ACTIVO</t>
  </si>
  <si>
    <t>AMENAZA</t>
  </si>
  <si>
    <t>PROBABILIDAD</t>
  </si>
  <si>
    <t>IMPACTO</t>
  </si>
  <si>
    <t>RIESGO</t>
  </si>
  <si>
    <t>Servidor 01 (Contabilidad)</t>
  </si>
  <si>
    <t>Router Wifi (Clientes)</t>
  </si>
  <si>
    <t>Servidor 02 (Web)</t>
  </si>
  <si>
    <t>…</t>
  </si>
  <si>
    <t>La amenaza se materializa a lo sumo una vez cada año.</t>
  </si>
  <si>
    <t>La amenaza se materializa a lo sumo una vez cada mes.</t>
  </si>
  <si>
    <t>La amenaza se materializa a lo sumo una vez cada semana.</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</si>
  <si>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</si>
  <si>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</si>
  <si>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</si>
  <si>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VALOR</t>
  </si>
  <si>
    <t>DESCRIPCIÓN</t>
  </si>
  <si>
    <t>TABLA PARA ESTIMAR LA PROBABILIDAD</t>
  </si>
  <si>
    <t>TABLA PARA ESTIMAR EL IMPACTO</t>
  </si>
  <si>
    <t>CRITERIOS DE ACEPTACIÓN DEL RIESGO</t>
  </si>
  <si>
    <t>RANGO</t>
  </si>
  <si>
    <t xml:space="preserve">La organización considera el riesgo poco reseñable. </t>
  </si>
  <si>
    <t xml:space="preserve"> </t>
  </si>
  <si>
    <t>La organización considera el riesgo reseñable y debe proceder a su tratamiento.</t>
  </si>
  <si>
    <t>Bajo (1)</t>
  </si>
  <si>
    <t>Medio (2)</t>
  </si>
  <si>
    <t>Alto (3)</t>
  </si>
  <si>
    <t>(Añadir a la tabla tantas filas como sea necesario)</t>
  </si>
  <si>
    <t>Fuego</t>
  </si>
  <si>
    <t>Daños por agua</t>
  </si>
  <si>
    <t>Desastres naturales</t>
  </si>
  <si>
    <t>Corte del suministro eléctrico</t>
  </si>
  <si>
    <t>Condiciones inadecuadas de temperatura o humedad</t>
  </si>
  <si>
    <t>Fallo de servicios de comunicaciones</t>
  </si>
  <si>
    <t>Interrupción de otros servicios y suministros esenciales</t>
  </si>
  <si>
    <t>Desastres industriales</t>
  </si>
  <si>
    <t>Errores de los usuarios</t>
  </si>
  <si>
    <t>Errores del administrador</t>
  </si>
  <si>
    <t>Errores de configuración</t>
  </si>
  <si>
    <t>Fuga de información</t>
  </si>
  <si>
    <t>Introducción de falsa información</t>
  </si>
  <si>
    <t>Alteración de la información</t>
  </si>
  <si>
    <t>Corrupción de la información</t>
  </si>
  <si>
    <t>Destrucción de información</t>
  </si>
  <si>
    <t>Interceptación de información (escucha)</t>
  </si>
  <si>
    <t>Degradación de los soportes de almacenamiento de la información</t>
  </si>
  <si>
    <t>Difusión de software dañino</t>
  </si>
  <si>
    <t>Errores de mantenimiento / actualización de programas (software)</t>
  </si>
  <si>
    <t>Errores de mantenimiento / actualización de equipos (hardware)</t>
  </si>
  <si>
    <t>Caída del sistema por sobrecarga</t>
  </si>
  <si>
    <t>Pérdida de equipos</t>
  </si>
  <si>
    <t>Indisponibilidad del personal</t>
  </si>
  <si>
    <t>Abuso de privilegios de acceso</t>
  </si>
  <si>
    <t>Acceso no autorizado</t>
  </si>
  <si>
    <t>Denegación de servicio</t>
  </si>
  <si>
    <t>Robo</t>
  </si>
  <si>
    <t>Extorsión</t>
  </si>
  <si>
    <t>Ingeniería social</t>
  </si>
  <si>
    <t>Amenazas</t>
  </si>
  <si>
    <r>
      <t xml:space="preserve">Riesgo &lt;= </t>
    </r>
    <r>
      <rPr>
        <sz val="11"/>
        <color indexed="10"/>
        <rFont val="Arial"/>
        <family val="2"/>
      </rPr>
      <t>4</t>
    </r>
  </si>
  <si>
    <r>
      <t xml:space="preserve">Riesgo &gt; </t>
    </r>
    <r>
      <rPr>
        <sz val="11"/>
        <color indexed="10"/>
        <rFont val="Arial"/>
        <family val="2"/>
      </rPr>
      <t>4</t>
    </r>
  </si>
  <si>
    <t>Activo</t>
  </si>
  <si>
    <t>Modelo A</t>
  </si>
  <si>
    <t>Modelo B</t>
  </si>
  <si>
    <t>Modelo C</t>
  </si>
  <si>
    <t>SI</t>
  </si>
  <si>
    <t>NO</t>
  </si>
  <si>
    <t>Identificador</t>
  </si>
  <si>
    <t>A1</t>
  </si>
  <si>
    <t>B1</t>
  </si>
  <si>
    <t>C1</t>
  </si>
  <si>
    <t>A2</t>
  </si>
  <si>
    <t>A3</t>
  </si>
  <si>
    <t>B2</t>
  </si>
  <si>
    <t>B3</t>
  </si>
  <si>
    <t>B4</t>
  </si>
  <si>
    <t>C2</t>
  </si>
  <si>
    <t>C3</t>
  </si>
  <si>
    <t>C4</t>
  </si>
  <si>
    <t>C5</t>
  </si>
  <si>
    <t>C6</t>
  </si>
  <si>
    <t>C7</t>
  </si>
  <si>
    <t>Aplicación</t>
  </si>
  <si>
    <t>Amenaza</t>
  </si>
  <si>
    <t>Probabilidad</t>
  </si>
  <si>
    <t>Impacto</t>
  </si>
  <si>
    <t>Riesgo</t>
  </si>
  <si>
    <t>Amenaza/Activo</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</si>
  <si>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</si>
  <si>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</si>
  <si>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</si>
  <si>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</si>
  <si>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r>
      <t>Hoja «</t>
    </r>
    <r>
      <rPr>
        <b/>
        <sz val="11"/>
        <color theme="1"/>
        <rFont val="Arial"/>
        <family val="2"/>
      </rPr>
      <t>Ejemplo de análisis</t>
    </r>
    <r>
      <rPr>
        <sz val="11"/>
        <color theme="1"/>
        <rFont val="Arial"/>
        <family val="2"/>
      </rPr>
      <t>»: contiene un ejemplo de análisis de riesgos que podrás utilizar como referencia para realizar la actividad.</t>
    </r>
  </si>
  <si>
    <r>
      <t>Hoja «</t>
    </r>
    <r>
      <rPr>
        <b/>
        <sz val="11"/>
        <color theme="1"/>
        <rFont val="Arial"/>
        <family val="2"/>
      </rPr>
      <t>Tablas AR</t>
    </r>
    <r>
      <rPr>
        <sz val="11"/>
        <color theme="1"/>
        <rFont val="Arial"/>
        <family val="2"/>
      </rPr>
      <t>»: incluye unas tablas orientativas para realizar las valoraciones de la probabilidad y el impacto según una escala de tres valores.</t>
    </r>
  </si>
  <si>
    <r>
      <t>Hoja «</t>
    </r>
    <r>
      <rPr>
        <b/>
        <sz val="11"/>
        <color theme="1"/>
        <rFont val="Arial"/>
        <family val="2"/>
      </rPr>
      <t>Catálogo amenazas</t>
    </r>
    <r>
      <rPr>
        <sz val="11"/>
        <color theme="1"/>
        <rFont val="Arial"/>
        <family val="2"/>
      </rPr>
      <t>»: refleja las principales amenazas a considerar en el ámbito de un análisis de riesgos.</t>
    </r>
  </si>
  <si>
    <r>
      <t>Hoja «</t>
    </r>
    <r>
      <rPr>
        <b/>
        <sz val="11"/>
        <color theme="1"/>
        <rFont val="Arial"/>
        <family val="2"/>
      </rPr>
      <t>Activos</t>
    </r>
    <r>
      <rPr>
        <sz val="11"/>
        <color theme="1"/>
        <rFont val="Arial"/>
        <family val="2"/>
      </rPr>
      <t>»: contiene un listado con los activos definidos para cada uno de los modelos de empresa propuestos en las instrucciones de la actividad final.</t>
    </r>
  </si>
  <si>
    <r>
      <t>Hoja «</t>
    </r>
    <r>
      <rPr>
        <b/>
        <sz val="11"/>
        <color theme="1"/>
        <rFont val="Arial"/>
        <family val="2"/>
      </rPr>
      <t>Cruces Activo-Amenaza</t>
    </r>
    <r>
      <rPr>
        <sz val="11"/>
        <color theme="1"/>
        <rFont val="Arial"/>
        <family val="2"/>
      </rPr>
      <t>»: se utilizará para especificar las amenazas que afectan a los activos del modelo elegido.</t>
    </r>
  </si>
  <si>
    <r>
      <t>Hoja «</t>
    </r>
    <r>
      <rPr>
        <b/>
        <sz val="11"/>
        <color theme="1"/>
        <rFont val="Arial"/>
        <family val="2"/>
      </rPr>
      <t>Análisis de Riesgos</t>
    </r>
    <r>
      <rPr>
        <sz val="11"/>
        <color theme="1"/>
        <rFont val="Arial"/>
        <family val="2"/>
      </rPr>
      <t>»: se utilizará para realizar el análisis de riesgos. Se debe indicar la probabilidad y el impacto de cada amenaza sobre cada uno de los activos.</t>
    </r>
  </si>
  <si>
    <t>w</t>
  </si>
  <si>
    <t>2º</t>
  </si>
  <si>
    <t>FUNCIONAMIENTO DE LA APLICACIÓN:</t>
  </si>
  <si>
    <t>INSTRUCCIONES PARA REALIZAR LA ACTIVIDAD FINAL</t>
  </si>
  <si>
    <r>
      <rPr>
        <b/>
        <sz val="11"/>
        <color theme="1"/>
        <rFont val="Arial"/>
        <family val="2"/>
      </rPr>
      <t>Paso 1</t>
    </r>
    <r>
      <rPr>
        <sz val="11"/>
        <color theme="1"/>
        <rFont val="Arial"/>
        <family val="2"/>
      </rPr>
      <t xml:space="preserve">: en la hoja </t>
    </r>
    <r>
      <rPr>
        <sz val="11"/>
        <color rgb="FFFF0000"/>
        <rFont val="Arial"/>
        <family val="2"/>
      </rPr>
      <t>«</t>
    </r>
    <r>
      <rPr>
        <b/>
        <sz val="11"/>
        <color rgb="FFFF0000"/>
        <rFont val="Arial"/>
        <family val="2"/>
      </rPr>
      <t>Activos</t>
    </r>
    <r>
      <rPr>
        <sz val="11"/>
        <color rgb="FFFF0000"/>
        <rFont val="Arial"/>
        <family val="2"/>
      </rPr>
      <t>»</t>
    </r>
    <r>
      <rPr>
        <sz val="11"/>
        <color theme="1"/>
        <rFont val="Arial"/>
        <family val="2"/>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</si>
  <si>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b/>
        <sz val="11"/>
        <color theme="1"/>
        <rFont val="Arial"/>
        <family val="2"/>
      </rPr>
      <t>Paso 2</t>
    </r>
    <r>
      <rPr>
        <sz val="11"/>
        <color theme="1"/>
        <rFont val="Arial"/>
        <family val="2"/>
      </rPr>
      <t xml:space="preserve">: en la hoja </t>
    </r>
    <r>
      <rPr>
        <b/>
        <sz val="11"/>
        <color theme="3"/>
        <rFont val="Arial"/>
        <family val="2"/>
      </rPr>
      <t xml:space="preserve">«Cruces Activo-Amenaza» </t>
    </r>
    <r>
      <rPr>
        <b/>
        <sz val="11"/>
        <rFont val="Arial"/>
        <family val="2"/>
      </rPr>
      <t>s</t>
    </r>
    <r>
      <rPr>
        <sz val="11"/>
        <rFont val="Arial"/>
        <family val="2"/>
      </rPr>
      <t>e mue</t>
    </r>
    <r>
      <rPr>
        <sz val="11"/>
        <color theme="1"/>
        <rFont val="Arial"/>
        <family val="2"/>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</si>
  <si>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b/>
        <sz val="11"/>
        <color theme="1"/>
        <rFont val="Arial"/>
        <family val="2"/>
      </rPr>
      <t>Paso 3</t>
    </r>
    <r>
      <rPr>
        <sz val="11"/>
        <color theme="1"/>
        <rFont val="Arial"/>
        <family val="2"/>
      </rPr>
      <t xml:space="preserve">: en la hoja </t>
    </r>
    <r>
      <rPr>
        <b/>
        <sz val="11"/>
        <color theme="6" tint="-0.499984740745262"/>
        <rFont val="Arial"/>
        <family val="2"/>
      </rPr>
      <t xml:space="preserve">«Análisis de Riesgos» </t>
    </r>
    <r>
      <rPr>
        <sz val="11"/>
        <rFont val="Arial"/>
        <family val="2"/>
      </rPr>
      <t>se debe pulsar el</t>
    </r>
    <r>
      <rPr>
        <sz val="11"/>
        <color theme="1"/>
        <rFont val="Arial"/>
        <family val="2"/>
      </rPr>
      <t xml:space="preserve"> botón «Mostrar activos» (en la esquina superior izquierda). Este botón mostrará automáticamente todos los activos elegidos, con cada una de las amenazas asociadas a dichos activos.</t>
    </r>
  </si>
  <si>
    <r>
      <rPr>
        <b/>
        <sz val="11"/>
        <color theme="1"/>
        <rFont val="Arial"/>
        <family val="2"/>
      </rPr>
      <t>Paso 4</t>
    </r>
    <r>
      <rPr>
        <sz val="11"/>
        <color theme="1"/>
        <rFont val="Arial"/>
        <family val="2"/>
      </rPr>
      <t xml:space="preserve">: en la hoja </t>
    </r>
    <r>
      <rPr>
        <b/>
        <sz val="11"/>
        <color theme="6" tint="-0.499984740745262"/>
        <rFont val="Arial"/>
        <family val="2"/>
      </rPr>
      <t xml:space="preserve">«Análisis de Riesgos» </t>
    </r>
    <r>
      <rPr>
        <sz val="11"/>
        <color theme="1"/>
        <rFont val="Arial"/>
        <family val="2"/>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</si>
  <si>
    <t>Router</t>
  </si>
  <si>
    <t>Switch</t>
  </si>
  <si>
    <t>Servidor Cobra</t>
  </si>
  <si>
    <t>Ordenador Supervisor</t>
  </si>
  <si>
    <t>Ordenador Caja 1</t>
  </si>
  <si>
    <t>Ordenador Caja 2</t>
  </si>
  <si>
    <t>Ordenador Caja 3</t>
  </si>
  <si>
    <t>WiFi</t>
  </si>
  <si>
    <t>Smarphone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</si>
</sst>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0"/>
      <color indexed="8"/>
      <name val="Arial"/>
      <family val="2"/>
    </font>
    <font>
      <b/>
      <sz val="12"/>
      <color indexed="8"/>
      <name val="Arial"/>
      <family val="2"/>
    </font>
    <font>
      <sz val="11"/>
      <color indexed="10"/>
      <name val="Arial"/>
      <family val="2"/>
    </font>
    <font>
      <sz val="12"/>
      <name val="Arial"/>
      <family val="2"/>
    </font>
    <font>
      <sz val="11"/>
      <color theme="1"/>
      <name val="Arial"/>
      <family val="2"/>
    </font>
    <font>
      <b/>
      <sz val="14"/>
      <color theme="0"/>
      <name val="Arial"/>
      <family val="2"/>
    </font>
    <font>
      <sz val="12"/>
      <color theme="1"/>
      <name val="Arial"/>
      <family val="2"/>
    </font>
    <font>
      <i/>
      <sz val="12"/>
      <color theme="1"/>
      <name val="Arial"/>
      <family val="2"/>
    </font>
    <font>
      <sz val="11"/>
      <color theme="0"/>
      <name val="Calibri"/>
      <family val="2"/>
      <scheme val="minor"/>
    </font>
    <font>
      <b/>
      <sz val="11"/>
      <color theme="0"/>
      <name val="Arial"/>
      <family val="2"/>
    </font>
    <font>
      <b/>
      <sz val="11"/>
      <color theme="1"/>
      <name val="Arial"/>
      <family val="2"/>
    </font>
    <font>
      <b/>
      <sz val="14"/>
      <color rgb="FFFF0000"/>
      <name val="Arial"/>
      <family val="2"/>
    </font>
    <font>
      <b/>
      <sz val="14"/>
      <color theme="0" tint="-0.499984740745262"/>
      <name val="Arial"/>
      <family val="2"/>
    </font>
    <font>
      <b/>
      <sz val="11"/>
      <color rgb="FFFF0000"/>
      <name val="Wingdings"/>
      <charset val="2"/>
    </font>
    <font>
      <b/>
      <sz val="11"/>
      <color rgb="FFFF0000"/>
      <name val="Arial"/>
      <family val="2"/>
    </font>
    <font>
      <sz val="11"/>
      <color rgb="FFFF0000"/>
      <name val="Arial"/>
      <family val="2"/>
    </font>
    <font>
      <b/>
      <sz val="16"/>
      <color rgb="FFFF0000"/>
      <name val="Arial"/>
      <family val="2"/>
    </font>
    <font>
      <b/>
      <sz val="11"/>
      <color theme="3"/>
      <name val="Arial"/>
      <family val="2"/>
    </font>
    <font>
      <b/>
      <sz val="11"/>
      <name val="Arial"/>
      <family val="2"/>
    </font>
    <font>
      <sz val="11"/>
      <name val="Arial"/>
      <family val="2"/>
    </font>
    <font>
      <b/>
      <sz val="11"/>
      <color theme="6" tint="-0.499984740745262"/>
      <name val="Arial"/>
      <family val="2"/>
    </font>
  </fonts>
  <fills count="1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E62C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patternFill>
    </fill>
    <fill>
      <patternFill patternType="solid">
        <fgColor theme="8"/>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FFFF6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right/>
      <top/>
      <bottom style="medium">
        <color rgb="FFFF0000"/>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s>
  <cellStyleXfs count="4">
    <xf numFmtId="0" fontId="0" fillId="0" borderId="0"/>
    <xf numFmtId="0" fontId="1" fillId="0" borderId="0"/>
    <xf numFmtId="0" fontId="9" fillId="11" borderId="0" applyNumberFormat="0" applyBorder="0" applyAlignment="0" applyProtection="0"/>
    <xf numFmtId="0" fontId="9" fillId="12" borderId="0" applyNumberFormat="0" applyBorder="0" applyAlignment="0" applyProtection="0"/>
  </cellStyleXfs>
  <cellXfs count="83">
    <xf numFmtId="0" fontId="0" fillId="0" borderId="0" xfId="0"/>
    <xf numFmtId="0" fontId="5" fillId="2" borderId="1" xfId="0" applyFont="1" applyFill="1" applyBorder="1" applyAlignment="1">
      <alignment horizontal="center" vertical="center"/>
    </xf>
    <xf numFmtId="0" fontId="5" fillId="2" borderId="0" xfId="0" applyFont="1" applyFill="1" applyAlignment="1">
      <alignment vertical="center"/>
    </xf>
    <xf numFmtId="0" fontId="5" fillId="3" borderId="0" xfId="0" applyFont="1" applyFill="1" applyAlignment="1">
      <alignment vertical="center"/>
    </xf>
    <xf numFmtId="0" fontId="5" fillId="4" borderId="0" xfId="0" applyFont="1" applyFill="1" applyAlignment="1">
      <alignment vertical="center"/>
    </xf>
    <xf numFmtId="0" fontId="6" fillId="5" borderId="0" xfId="0" applyFont="1" applyFill="1" applyAlignment="1">
      <alignment horizontal="center" vertical="center"/>
    </xf>
    <xf numFmtId="0" fontId="5" fillId="2" borderId="0" xfId="0" applyFont="1" applyFill="1" applyAlignment="1">
      <alignment horizontal="center" vertical="center"/>
    </xf>
    <xf numFmtId="0" fontId="2" fillId="6" borderId="2" xfId="1"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6" fontId="5" fillId="2" borderId="1" xfId="0" applyNumberFormat="1" applyFont="1" applyFill="1" applyBorder="1" applyAlignment="1">
      <alignment horizontal="center" vertical="center"/>
    </xf>
    <xf numFmtId="0" fontId="4" fillId="2" borderId="1" xfId="0" applyFont="1" applyFill="1" applyBorder="1" applyAlignment="1">
      <alignment vertical="center"/>
    </xf>
    <xf numFmtId="0" fontId="7" fillId="2" borderId="1" xfId="0" applyFont="1" applyFill="1" applyBorder="1" applyAlignment="1">
      <alignment vertical="center" wrapText="1"/>
    </xf>
    <xf numFmtId="0" fontId="4" fillId="2" borderId="1" xfId="0" applyFont="1" applyFill="1" applyBorder="1" applyAlignment="1">
      <alignment horizontal="center" vertical="center"/>
    </xf>
    <xf numFmtId="0" fontId="7" fillId="2" borderId="1" xfId="0" applyFont="1" applyFill="1" applyBorder="1" applyAlignment="1">
      <alignment vertical="center"/>
    </xf>
    <xf numFmtId="0" fontId="7" fillId="2" borderId="1" xfId="0" applyFont="1" applyFill="1" applyBorder="1" applyAlignment="1">
      <alignment horizontal="center" vertical="center"/>
    </xf>
    <xf numFmtId="0" fontId="8" fillId="2" borderId="1" xfId="0" applyFont="1" applyFill="1" applyBorder="1" applyAlignment="1">
      <alignment horizontal="center" vertical="center"/>
    </xf>
    <xf numFmtId="0" fontId="5" fillId="0" borderId="0" xfId="0" applyFont="1" applyAlignment="1">
      <alignment wrapText="1"/>
    </xf>
    <xf numFmtId="0" fontId="5" fillId="7" borderId="0" xfId="0" applyFont="1" applyFill="1" applyAlignment="1">
      <alignment vertical="center"/>
    </xf>
    <xf numFmtId="0" fontId="5" fillId="8" borderId="0" xfId="0" applyFont="1" applyFill="1" applyAlignment="1">
      <alignment vertical="center"/>
    </xf>
    <xf numFmtId="0" fontId="5" fillId="10" borderId="0" xfId="0" applyFont="1" applyFill="1" applyAlignment="1">
      <alignment vertical="center"/>
    </xf>
    <xf numFmtId="0" fontId="5" fillId="9" borderId="0" xfId="0" applyFont="1" applyFill="1" applyAlignment="1">
      <alignment vertical="center"/>
    </xf>
    <xf numFmtId="0" fontId="0" fillId="0" borderId="0" xfId="0" applyProtection="1">
      <protection locked="0"/>
    </xf>
    <xf numFmtId="0" fontId="0" fillId="0" borderId="0" xfId="0" applyAlignment="1">
      <alignment wrapText="1"/>
    </xf>
    <xf numFmtId="0" fontId="5" fillId="0" borderId="0" xfId="0" applyFont="1"/>
    <xf numFmtId="0" fontId="11" fillId="0" borderId="15" xfId="0" applyFont="1" applyBorder="1" applyAlignment="1">
      <alignment horizontal="center"/>
    </xf>
    <xf numFmtId="0" fontId="11" fillId="0" borderId="15" xfId="0" applyFont="1" applyBorder="1" applyAlignment="1">
      <alignment horizontal="center" wrapText="1"/>
    </xf>
    <xf numFmtId="0" fontId="5" fillId="0" borderId="8" xfId="0" applyFont="1" applyBorder="1" applyAlignment="1">
      <alignment horizontal="center"/>
    </xf>
    <xf numFmtId="0" fontId="5" fillId="0" borderId="1" xfId="0" applyFont="1" applyBorder="1" applyAlignment="1">
      <alignment horizontal="center"/>
    </xf>
    <xf numFmtId="0" fontId="5" fillId="0" borderId="13" xfId="0" applyFont="1" applyBorder="1" applyAlignment="1">
      <alignment horizontal="center"/>
    </xf>
    <xf numFmtId="0" fontId="5" fillId="16" borderId="9" xfId="0" applyFont="1" applyFill="1" applyBorder="1" applyAlignment="1" applyProtection="1">
      <alignment horizontal="center"/>
      <protection locked="0"/>
    </xf>
    <xf numFmtId="0" fontId="5" fillId="16" borderId="11" xfId="0" applyFont="1" applyFill="1" applyBorder="1" applyAlignment="1" applyProtection="1">
      <alignment horizontal="center"/>
      <protection locked="0"/>
    </xf>
    <xf numFmtId="0" fontId="5" fillId="16" borderId="14" xfId="0" applyFont="1" applyFill="1" applyBorder="1" applyAlignment="1" applyProtection="1">
      <alignment horizontal="center"/>
      <protection locked="0"/>
    </xf>
    <xf numFmtId="0" fontId="5" fillId="14" borderId="9" xfId="0" applyFont="1" applyFill="1" applyBorder="1" applyAlignment="1" applyProtection="1">
      <alignment horizontal="center"/>
      <protection locked="0"/>
    </xf>
    <xf numFmtId="0" fontId="5" fillId="14" borderId="11" xfId="0" applyFont="1" applyFill="1" applyBorder="1" applyAlignment="1" applyProtection="1">
      <alignment horizontal="center"/>
      <protection locked="0"/>
    </xf>
    <xf numFmtId="0" fontId="5" fillId="14" borderId="14" xfId="0" applyFont="1" applyFill="1" applyBorder="1" applyAlignment="1" applyProtection="1">
      <alignment horizontal="center"/>
      <protection locked="0"/>
    </xf>
    <xf numFmtId="0" fontId="5" fillId="17" borderId="9" xfId="0" applyFont="1" applyFill="1" applyBorder="1" applyAlignment="1" applyProtection="1">
      <alignment horizontal="center"/>
      <protection locked="0"/>
    </xf>
    <xf numFmtId="0" fontId="5" fillId="17" borderId="11" xfId="0" applyFont="1" applyFill="1" applyBorder="1" applyAlignment="1" applyProtection="1">
      <alignment horizontal="center"/>
      <protection locked="0"/>
    </xf>
    <xf numFmtId="0" fontId="5" fillId="0" borderId="0" xfId="0" applyFont="1" applyAlignment="1">
      <alignment vertical="center"/>
    </xf>
    <xf numFmtId="0" fontId="5" fillId="0" borderId="0" xfId="0" applyFont="1" applyAlignment="1">
      <alignment vertical="top"/>
    </xf>
    <xf numFmtId="0" fontId="14" fillId="0" borderId="0" xfId="0" applyFont="1" applyAlignment="1">
      <alignment horizontal="center" vertical="center"/>
    </xf>
    <xf numFmtId="0" fontId="15" fillId="0" borderId="16" xfId="0" applyFont="1" applyBorder="1"/>
    <xf numFmtId="0" fontId="5" fillId="0" borderId="16" xfId="0" applyFont="1" applyBorder="1"/>
    <xf numFmtId="0" fontId="14" fillId="0" borderId="0" xfId="0" applyFont="1" applyAlignment="1">
      <alignment horizontal="center" vertical="top"/>
    </xf>
    <xf numFmtId="0" fontId="12" fillId="0" borderId="0" xfId="0" applyFont="1" applyAlignment="1">
      <alignment vertical="center"/>
    </xf>
    <xf numFmtId="0" fontId="5" fillId="0" borderId="17" xfId="0" applyFont="1" applyBorder="1"/>
    <xf numFmtId="0" fontId="5" fillId="0" borderId="18" xfId="0" applyFont="1" applyBorder="1"/>
    <xf numFmtId="0" fontId="5" fillId="0" borderId="20" xfId="0" applyFont="1" applyBorder="1"/>
    <xf numFmtId="0" fontId="5" fillId="0" borderId="22" xfId="0" applyFont="1" applyBorder="1"/>
    <xf numFmtId="0" fontId="5" fillId="0" borderId="23" xfId="0" applyFont="1" applyBorder="1"/>
    <xf numFmtId="0" fontId="13" fillId="0" borderId="23" xfId="0" applyFont="1" applyBorder="1" applyAlignment="1">
      <alignment vertical="center"/>
    </xf>
    <xf numFmtId="0" fontId="15"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top" wrapText="1"/>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Alignment="1">
      <alignment horizontal="center" vertical="center"/>
    </xf>
    <xf numFmtId="0" fontId="17" fillId="0" borderId="21" xfId="0" applyFont="1" applyBorder="1" applyAlignment="1">
      <alignment horizontal="center" vertical="center"/>
    </xf>
    <xf numFmtId="0" fontId="13" fillId="0" borderId="0" xfId="0" applyFont="1" applyAlignment="1">
      <alignment horizontal="center" vertical="center"/>
    </xf>
    <xf numFmtId="0" fontId="13" fillId="0" borderId="21" xfId="0" applyFont="1" applyBorder="1" applyAlignment="1">
      <alignment horizontal="center" vertical="center"/>
    </xf>
    <xf numFmtId="0" fontId="13" fillId="0" borderId="23" xfId="0" applyFont="1" applyBorder="1" applyAlignment="1">
      <alignment horizontal="center" vertical="center"/>
    </xf>
    <xf numFmtId="0" fontId="13" fillId="0" borderId="24" xfId="0" applyFont="1" applyBorder="1" applyAlignment="1">
      <alignment horizontal="center" vertical="center"/>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3" xfId="0" applyFont="1" applyFill="1" applyBorder="1" applyAlignment="1">
      <alignment horizontal="center" vertical="center"/>
    </xf>
    <xf numFmtId="0" fontId="6" fillId="5" borderId="5" xfId="0" applyFont="1" applyFill="1" applyBorder="1" applyAlignment="1">
      <alignment horizontal="center" vertical="center"/>
    </xf>
    <xf numFmtId="0" fontId="5" fillId="9" borderId="0" xfId="0" applyFont="1" applyFill="1" applyAlignment="1">
      <alignment horizontal="left" vertical="center"/>
    </xf>
    <xf numFmtId="0" fontId="5" fillId="10" borderId="0" xfId="0" applyFont="1" applyFill="1" applyAlignment="1">
      <alignment horizontal="left" vertical="center"/>
    </xf>
    <xf numFmtId="0" fontId="6" fillId="5" borderId="0" xfId="0" applyFont="1" applyFill="1" applyAlignment="1">
      <alignment horizontal="center" vertical="center"/>
    </xf>
    <xf numFmtId="0" fontId="5" fillId="7" borderId="0" xfId="0" applyFont="1" applyFill="1" applyAlignment="1">
      <alignment horizontal="left" vertical="center"/>
    </xf>
    <xf numFmtId="0" fontId="5" fillId="8" borderId="0" xfId="0" applyFont="1" applyFill="1" applyAlignment="1">
      <alignment horizontal="left" vertical="center"/>
    </xf>
    <xf numFmtId="0" fontId="10" fillId="13" borderId="7" xfId="2" applyFont="1" applyFill="1" applyBorder="1" applyAlignment="1">
      <alignment horizontal="center" vertical="top"/>
    </xf>
    <xf numFmtId="0" fontId="10" fillId="13" borderId="10" xfId="2" applyFont="1" applyFill="1" applyBorder="1" applyAlignment="1">
      <alignment horizontal="center" vertical="top"/>
    </xf>
    <xf numFmtId="0" fontId="10" fillId="13" borderId="12" xfId="2" applyFont="1" applyFill="1" applyBorder="1" applyAlignment="1">
      <alignment horizontal="center" vertical="top"/>
    </xf>
    <xf numFmtId="0" fontId="10" fillId="15" borderId="7" xfId="3" applyFont="1" applyFill="1" applyBorder="1" applyAlignment="1">
      <alignment horizontal="center" vertical="top"/>
    </xf>
    <xf numFmtId="0" fontId="10" fillId="15" borderId="10" xfId="3" applyFont="1" applyFill="1" applyBorder="1" applyAlignment="1">
      <alignment horizontal="center" vertical="top"/>
    </xf>
    <xf numFmtId="0" fontId="10" fillId="15" borderId="12" xfId="3" applyFont="1" applyFill="1" applyBorder="1" applyAlignment="1">
      <alignment horizontal="center" vertical="top"/>
    </xf>
    <xf numFmtId="0" fontId="11" fillId="17" borderId="7" xfId="0" applyFont="1" applyFill="1" applyBorder="1" applyAlignment="1">
      <alignment horizontal="center" vertical="top"/>
    </xf>
    <xf numFmtId="0" fontId="11" fillId="17" borderId="10" xfId="0" applyFont="1" applyFill="1" applyBorder="1" applyAlignment="1">
      <alignment horizontal="center" vertical="top"/>
    </xf>
    <xf numFmtId="0" fontId="6" fillId="5" borderId="6" xfId="0" applyFont="1" applyFill="1" applyBorder="1" applyAlignment="1">
      <alignment horizontal="center" vertical="center" wrapText="1"/>
    </xf>
    <xf numFmtId="0" fontId="6" fillId="5" borderId="0" xfId="0" applyFont="1" applyFill="1" applyAlignment="1">
      <alignment horizontal="center" vertical="center" wrapText="1"/>
    </xf>
  </cellXfs>
  <cellStyles count="4">
    <cellStyle name="Énfasis1" xfId="2" builtinId="29"/>
    <cellStyle name="Énfasis5" xfId="3" builtinId="45"/>
    <cellStyle name="Normal" xfId="0" builtinId="0"/>
    <cellStyle name="Normal_ES1 Quart" xfId="1" xr:uid="{00000000-0005-0000-0000-000003000000}"/>
  </cellStyles>
  <dxfs count="6">
    <dxf>
      <fill>
        <patternFill>
          <bgColor rgb="FF92D050"/>
        </patternFill>
      </fill>
    </dxf>
    <dxf>
      <fill>
        <patternFill>
          <bgColor rgb="FFFFFF66"/>
        </patternFill>
      </fill>
    </dxf>
    <dxf>
      <fill>
        <patternFill>
          <bgColor rgb="FFFFCC00"/>
        </patternFill>
      </fill>
    </dxf>
    <dxf>
      <fill>
        <patternFill>
          <bgColor rgb="FFFF9900"/>
        </patternFill>
      </fill>
    </dxf>
    <dxf>
      <fill>
        <patternFill>
          <bgColor rgb="FFFF0000"/>
        </patternFill>
      </fill>
    </dxf>
    <dxf>
      <fill>
        <patternFill>
          <bgColor rgb="FF00B050"/>
        </patternFill>
      </fill>
    </dxf>
  </dxfs>
  <tableStyles count="0" defaultTableStyle="TableStyleMedium2" defaultPivotStyle="PivotStyleLight16"/>
  <colors>
    <mruColors>
      <color rgb="FFDB1BAD"/>
      <color rgb="FFFFFF66"/>
      <color rgb="FFF4F174"/>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243840</xdr:colOff>
      <xdr:row>0</xdr:row>
      <xdr:rowOff>152400</xdr:rowOff>
    </xdr:from>
    <xdr:to>
      <xdr:col>4</xdr:col>
      <xdr:colOff>408652</xdr:colOff>
      <xdr:row>3</xdr:row>
      <xdr:rowOff>53393</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64820" y="152400"/>
          <a:ext cx="2542252" cy="6096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393999</xdr:colOff>
      <xdr:row>0</xdr:row>
      <xdr:rowOff>328332</xdr:rowOff>
    </xdr:from>
    <xdr:ext cx="9281987" cy="4007436"/>
    <xdr:sp macro="" textlink="" fLocksText="0">
      <xdr:nvSpPr>
        <xdr:cNvPr id="2" name="1 CuadroTexto">
          <a:extLst>
            <a:ext uri="{FF2B5EF4-FFF2-40B4-BE49-F238E27FC236}">
              <a16:creationId xmlns:a16="http://schemas.microsoft.com/office/drawing/2014/main" id="{00000000-0008-0000-0100-000002000000}"/>
            </a:ext>
          </a:extLst>
        </xdr:cNvPr>
        <xdr:cNvSpPr txBox="1"/>
      </xdr:nvSpPr>
      <xdr:spPr>
        <a:xfrm>
          <a:off x="3045759" y="337857"/>
          <a:ext cx="9279592" cy="39960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Este documento permite realizar un análisis de riesgos sencillo en base a una escala de probababilidad e impacto de tres niveles. Instrucciones:				</a:t>
          </a:r>
        </a:p>
        <a:p>
          <a:pPr algn="l">
            <a:lnSpc>
              <a:spcPts val="1400"/>
            </a:lnSpc>
            <a:spcBef>
              <a:spcPts val="200"/>
            </a:spcBef>
            <a:spcAft>
              <a:spcPts val="200"/>
            </a:spcAft>
          </a:pPr>
          <a:r>
            <a:rPr lang="es-ES" sz="1100" b="1">
              <a:latin typeface="Arial" pitchFamily="34" charset="0"/>
              <a:cs typeface="Arial" pitchFamily="34" charset="0"/>
            </a:rPr>
            <a:t>  </a:t>
          </a:r>
          <a:r>
            <a:rPr lang="es-ES" sz="1100" b="1" baseline="0">
              <a:latin typeface="Arial" pitchFamily="34" charset="0"/>
              <a:cs typeface="Arial" pitchFamily="34" charset="0"/>
            </a:rPr>
            <a:t> </a:t>
          </a:r>
          <a:r>
            <a:rPr lang="es-ES" sz="1100" b="1">
              <a:latin typeface="Arial" pitchFamily="34" charset="0"/>
              <a:cs typeface="Arial" pitchFamily="34" charset="0"/>
            </a:rPr>
            <a:t> 1. Determinar el riesgo aceptable </a:t>
          </a:r>
          <a:r>
            <a:rPr lang="es-ES" sz="1100">
              <a:latin typeface="Arial" pitchFamily="34" charset="0"/>
              <a:cs typeface="Arial" pitchFamily="34" charset="0"/>
            </a:rPr>
            <a:t>por la organización, e indicarlo en la  pestaña "Tablas AR".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2. Identificar los activos críticos </a:t>
          </a:r>
          <a:r>
            <a:rPr lang="es-ES" sz="1100">
              <a:latin typeface="Arial" pitchFamily="34" charset="0"/>
              <a:cs typeface="Arial" pitchFamily="34" charset="0"/>
            </a:rPr>
            <a:t>de la organización.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3. Identificar las amenazas </a:t>
          </a:r>
          <a:r>
            <a:rPr lang="es-ES" sz="1100">
              <a:latin typeface="Arial" pitchFamily="34" charset="0"/>
              <a:cs typeface="Arial" pitchFamily="34" charset="0"/>
            </a:rPr>
            <a:t>que aplican a cada uno de los activos críticos, según la pestaña "</a:t>
          </a:r>
          <a:r>
            <a:rPr lang="es-ES" sz="1100" b="1">
              <a:latin typeface="Arial" pitchFamily="34" charset="0"/>
              <a:cs typeface="Arial" pitchFamily="34" charset="0"/>
            </a:rPr>
            <a:t>Catálogo Amenazas</a:t>
          </a:r>
          <a:r>
            <a:rPr lang="es-ES" sz="1100">
              <a:latin typeface="Arial" pitchFamily="34" charset="0"/>
              <a:cs typeface="Arial" pitchFamily="34" charset="0"/>
            </a:rPr>
            <a:t>".</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4. Establecer la probabilidad y el impacto </a:t>
          </a:r>
          <a:r>
            <a:rPr lang="es-ES" sz="1100">
              <a:latin typeface="Arial" pitchFamily="34" charset="0"/>
              <a:cs typeface="Arial" pitchFamily="34" charset="0"/>
            </a:rPr>
            <a:t>de que dicha amenaza se materialice, según los valores de la pestaña "</a:t>
          </a:r>
          <a:r>
            <a:rPr lang="es-ES" sz="1100" b="1">
              <a:latin typeface="Arial" pitchFamily="34" charset="0"/>
              <a:cs typeface="Arial" pitchFamily="34" charset="0"/>
            </a:rPr>
            <a:t>Tablas AR</a:t>
          </a:r>
          <a:r>
            <a:rPr lang="es-ES" sz="1100">
              <a:latin typeface="Arial" pitchFamily="34" charset="0"/>
              <a:cs typeface="Arial" pitchFamily="34" charset="0"/>
            </a:rPr>
            <a:t>".</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5. Establecer medidas </a:t>
          </a:r>
          <a:r>
            <a:rPr lang="es-ES" sz="1100">
              <a:latin typeface="Arial" pitchFamily="34" charset="0"/>
              <a:cs typeface="Arial" pitchFamily="34" charset="0"/>
            </a:rPr>
            <a:t>para aquellos riesgos que superen el riesgo aceptable indicado.</a:t>
          </a:r>
        </a:p>
        <a:p>
          <a:pPr algn="l">
            <a:lnSpc>
              <a:spcPts val="1500"/>
            </a:lnSpc>
            <a:spcBef>
              <a:spcPts val="200"/>
            </a:spcBef>
            <a:spcAft>
              <a:spcPts val="200"/>
            </a:spcAft>
          </a:pPr>
          <a:endParaRPr lang="es-ES" sz="1100">
            <a:latin typeface="Arial" pitchFamily="34" charset="0"/>
            <a:cs typeface="Arial" pitchFamily="34" charset="0"/>
          </a:endParaRPr>
        </a:p>
        <a:p>
          <a:pPr algn="l">
            <a:lnSpc>
              <a:spcPts val="1400"/>
            </a:lnSpc>
            <a:spcBef>
              <a:spcPts val="200"/>
            </a:spcBef>
            <a:spcAft>
              <a:spcPts val="200"/>
            </a:spcAft>
          </a:pPr>
          <a:r>
            <a:rPr lang="es-ES" sz="1100">
              <a:latin typeface="Arial" pitchFamily="34" charset="0"/>
              <a:cs typeface="Arial" pitchFamily="34" charset="0"/>
            </a:rPr>
            <a:t>Campos</a:t>
          </a:r>
          <a:r>
            <a:rPr lang="es-ES" sz="1100" baseline="0">
              <a:latin typeface="Arial" pitchFamily="34" charset="0"/>
              <a:cs typeface="Arial" pitchFamily="34" charset="0"/>
            </a:rPr>
            <a:t> de la tabla:</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Activo</a:t>
          </a:r>
          <a:r>
            <a:rPr lang="es-ES" sz="1100" baseline="0">
              <a:latin typeface="Arial" pitchFamily="34" charset="0"/>
              <a:cs typeface="Arial" pitchFamily="34" charset="0"/>
            </a:rPr>
            <a:t>: Nombre del activo sobre el que se evalúa el riesgo.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Amenaza</a:t>
          </a:r>
          <a:r>
            <a:rPr lang="es-ES" sz="1100" baseline="0">
              <a:latin typeface="Arial" pitchFamily="34" charset="0"/>
              <a:cs typeface="Arial" pitchFamily="34" charset="0"/>
            </a:rPr>
            <a:t>: Descripción de la amenaza a la que está expuesta el activo.</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Probabilidad</a:t>
          </a:r>
          <a:r>
            <a:rPr lang="es-ES" sz="1100" baseline="0">
              <a:latin typeface="Arial" pitchFamily="34" charset="0"/>
              <a:cs typeface="Arial" pitchFamily="34" charset="0"/>
            </a:rPr>
            <a:t>. Probabilidad de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Impacto</a:t>
          </a:r>
          <a:r>
            <a:rPr lang="es-ES" sz="1100" baseline="0">
              <a:latin typeface="Arial" pitchFamily="34" charset="0"/>
              <a:cs typeface="Arial" pitchFamily="34" charset="0"/>
            </a:rPr>
            <a:t>. Impacto derivado de la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Riesgo</a:t>
          </a:r>
          <a:r>
            <a:rPr lang="es-ES" sz="1100" baseline="0">
              <a:latin typeface="Arial" pitchFamily="34" charset="0"/>
              <a:cs typeface="Arial" pitchFamily="34" charset="0"/>
            </a:rPr>
            <a:t>. Valor de riesgo resultante.</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1000"/>
            </a:lnSpc>
            <a:spcBef>
              <a:spcPts val="200"/>
            </a:spcBef>
            <a:spcAft>
              <a:spcPts val="200"/>
            </a:spcAft>
          </a:pPr>
          <a:r>
            <a:rPr lang="es-ES" sz="1100" baseline="0">
              <a:latin typeface="Arial" pitchFamily="34" charset="0"/>
              <a:cs typeface="Arial" pitchFamily="34" charset="0"/>
            </a:rPr>
            <a:t>En las pestañas de la hoja Excel se incluye información relevante sobre los niveles orientativos  de probabilidad y riesgo, así como un catálogo de amenazas básico.</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900"/>
            </a:lnSpc>
            <a:spcBef>
              <a:spcPts val="200"/>
            </a:spcBef>
            <a:spcAft>
              <a:spcPts val="200"/>
            </a:spcAft>
          </a:pP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685800</xdr:rowOff>
    </xdr:from>
    <xdr:to>
      <xdr:col>2</xdr:col>
      <xdr:colOff>257175</xdr:colOff>
      <xdr:row>0</xdr:row>
      <xdr:rowOff>1295400</xdr:rowOff>
    </xdr:to>
    <xdr:pic>
      <xdr:nvPicPr>
        <xdr:cNvPr id="2065" name="2 Imagen">
          <a:extLst>
            <a:ext uri="{FF2B5EF4-FFF2-40B4-BE49-F238E27FC236}">
              <a16:creationId xmlns:a16="http://schemas.microsoft.com/office/drawing/2014/main" id="{00000000-0008-0000-0100-0000110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685800"/>
          <a:ext cx="2476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xdr:colOff>
      <xdr:row>0</xdr:row>
      <xdr:rowOff>4352925</xdr:rowOff>
    </xdr:from>
    <xdr:to>
      <xdr:col>6</xdr:col>
      <xdr:colOff>1</xdr:colOff>
      <xdr:row>0</xdr:row>
      <xdr:rowOff>4842061</xdr:rowOff>
    </xdr:to>
    <xdr:sp macro="" textlink="" fLocksText="0">
      <xdr:nvSpPr>
        <xdr:cNvPr id="5" name="4 CuadroTexto">
          <a:extLst>
            <a:ext uri="{FF2B5EF4-FFF2-40B4-BE49-F238E27FC236}">
              <a16:creationId xmlns:a16="http://schemas.microsoft.com/office/drawing/2014/main" id="{00000000-0008-0000-0100-000005000000}"/>
            </a:ext>
          </a:extLst>
        </xdr:cNvPr>
        <xdr:cNvSpPr txBox="1"/>
      </xdr:nvSpPr>
      <xdr:spPr>
        <a:xfrm>
          <a:off x="352424" y="4352925"/>
          <a:ext cx="11449051"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4</xdr:col>
      <xdr:colOff>47625</xdr:colOff>
      <xdr:row>0</xdr:row>
      <xdr:rowOff>476250</xdr:rowOff>
    </xdr:from>
    <xdr:to>
      <xdr:col>8</xdr:col>
      <xdr:colOff>600075</xdr:colOff>
      <xdr:row>7</xdr:row>
      <xdr:rowOff>47625</xdr:rowOff>
    </xdr:to>
    <xdr:pic>
      <xdr:nvPicPr>
        <xdr:cNvPr id="3092" name="Picture 15">
          <a:extLst>
            <a:ext uri="{FF2B5EF4-FFF2-40B4-BE49-F238E27FC236}">
              <a16:creationId xmlns:a16="http://schemas.microsoft.com/office/drawing/2014/main" id="{00000000-0008-0000-0200-000014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2975" y="476250"/>
          <a:ext cx="3952875"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1655444</xdr:colOff>
      <xdr:row>0</xdr:row>
      <xdr:rowOff>147359</xdr:rowOff>
    </xdr:from>
    <xdr:ext cx="8608155" cy="1149348"/>
    <xdr:sp macro="" textlink="" fLocksText="0">
      <xdr:nvSpPr>
        <xdr:cNvPr id="9" name="8 CuadroTexto">
          <a:extLst>
            <a:ext uri="{FF2B5EF4-FFF2-40B4-BE49-F238E27FC236}">
              <a16:creationId xmlns:a16="http://schemas.microsoft.com/office/drawing/2014/main" id="{00000000-0008-0000-0200-000009000000}"/>
            </a:ext>
          </a:extLst>
        </xdr:cNvPr>
        <xdr:cNvSpPr txBox="1"/>
      </xdr:nvSpPr>
      <xdr:spPr>
        <a:xfrm>
          <a:off x="3228974" y="156884"/>
          <a:ext cx="8324851" cy="11569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Debajo se recogen</a:t>
          </a:r>
          <a:r>
            <a:rPr lang="es-ES" sz="1100" baseline="0">
              <a:latin typeface="Arial" pitchFamily="34" charset="0"/>
              <a:cs typeface="Arial" pitchFamily="34" charset="0"/>
            </a:rPr>
            <a:t> tablas orientativas para realizar las valoraciones de impacto según escalas de tres valores. En función del nivel de detalle que se desee conseguir, puede aumentarse el número de intervalos de la escala.</a:t>
          </a:r>
        </a:p>
        <a:p>
          <a:pPr algn="l">
            <a:lnSpc>
              <a:spcPts val="1300"/>
            </a:lnSpc>
            <a:spcBef>
              <a:spcPts val="200"/>
            </a:spcBef>
            <a:spcAft>
              <a:spcPts val="200"/>
            </a:spcAft>
          </a:pPr>
          <a:endParaRPr lang="es-ES" sz="1100" baseline="0">
            <a:latin typeface="Arial" pitchFamily="34" charset="0"/>
            <a:cs typeface="Arial" pitchFamily="34" charset="0"/>
          </a:endParaRPr>
        </a:p>
        <a:p>
          <a:pPr algn="l">
            <a:spcBef>
              <a:spcPts val="200"/>
            </a:spcBef>
            <a:spcAft>
              <a:spcPts val="200"/>
            </a:spcAft>
          </a:pPr>
          <a:r>
            <a:rPr lang="es-ES" sz="1100" baseline="0">
              <a:latin typeface="Arial" pitchFamily="34" charset="0"/>
              <a:cs typeface="Arial" pitchFamily="34" charset="0"/>
            </a:rPr>
            <a:t>Asimismo, se incluye una tabla para la definición del riesgo aceptable, que debe ser definido previamente a la realización del análisis de riesgos de acuerdo a la estrategia corporativa.</a:t>
          </a: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381000</xdr:rowOff>
    </xdr:from>
    <xdr:to>
      <xdr:col>2</xdr:col>
      <xdr:colOff>1495425</xdr:colOff>
      <xdr:row>0</xdr:row>
      <xdr:rowOff>962025</xdr:rowOff>
    </xdr:to>
    <xdr:pic>
      <xdr:nvPicPr>
        <xdr:cNvPr id="3094" name="9 Imagen">
          <a:extLst>
            <a:ext uri="{FF2B5EF4-FFF2-40B4-BE49-F238E27FC236}">
              <a16:creationId xmlns:a16="http://schemas.microsoft.com/office/drawing/2014/main" id="{00000000-0008-0000-0200-0000160C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381000"/>
          <a:ext cx="24860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481965</xdr:colOff>
      <xdr:row>0</xdr:row>
      <xdr:rowOff>1481644</xdr:rowOff>
    </xdr:from>
    <xdr:to>
      <xdr:col>3</xdr:col>
      <xdr:colOff>1907</xdr:colOff>
      <xdr:row>0</xdr:row>
      <xdr:rowOff>1961374</xdr:rowOff>
    </xdr:to>
    <xdr:sp macro="" textlink="" fLocksText="0">
      <xdr:nvSpPr>
        <xdr:cNvPr id="12" name="11 CuadroTexto">
          <a:extLst>
            <a:ext uri="{FF2B5EF4-FFF2-40B4-BE49-F238E27FC236}">
              <a16:creationId xmlns:a16="http://schemas.microsoft.com/office/drawing/2014/main" id="{00000000-0008-0000-0200-00000C000000}"/>
            </a:ext>
          </a:extLst>
        </xdr:cNvPr>
        <xdr:cNvSpPr txBox="1"/>
      </xdr:nvSpPr>
      <xdr:spPr>
        <a:xfrm>
          <a:off x="485775" y="1479739"/>
          <a:ext cx="11077575"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4.xml><?xml version="1.0" encoding="utf-8"?>
<xdr:wsDr xmlns:xdr="http://schemas.openxmlformats.org/drawingml/2006/spreadsheetDrawing" xmlns:a="http://schemas.openxmlformats.org/drawingml/2006/main">
  <xdr:oneCellAnchor>
    <xdr:from>
      <xdr:col>1</xdr:col>
      <xdr:colOff>2636184</xdr:colOff>
      <xdr:row>0</xdr:row>
      <xdr:rowOff>250452</xdr:rowOff>
    </xdr:from>
    <xdr:ext cx="9488433" cy="1688166"/>
    <xdr:sp macro="" textlink="" fLocksText="0">
      <xdr:nvSpPr>
        <xdr:cNvPr id="6" name="5 CuadroTexto">
          <a:extLst>
            <a:ext uri="{FF2B5EF4-FFF2-40B4-BE49-F238E27FC236}">
              <a16:creationId xmlns:a16="http://schemas.microsoft.com/office/drawing/2014/main" id="{00000000-0008-0000-0300-000006000000}"/>
            </a:ext>
          </a:extLst>
        </xdr:cNvPr>
        <xdr:cNvSpPr txBox="1"/>
      </xdr:nvSpPr>
      <xdr:spPr>
        <a:xfrm>
          <a:off x="3398184" y="250452"/>
          <a:ext cx="9525000" cy="168816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600"/>
            </a:spcBef>
            <a:spcAft>
              <a:spcPts val="600"/>
            </a:spcAft>
          </a:pPr>
          <a:r>
            <a:rPr lang="es-ES" sz="1400">
              <a:latin typeface="Arial" pitchFamily="34" charset="0"/>
              <a:cs typeface="Arial" pitchFamily="34" charset="0"/>
            </a:rPr>
            <a:t>El siguiente listado recoge las principales amenazas a considerar en el ámbito de un análisis de riesgos.</a:t>
          </a:r>
          <a:r>
            <a:rPr lang="es-ES" sz="1400" baseline="0">
              <a:latin typeface="Arial" pitchFamily="34" charset="0"/>
              <a:cs typeface="Arial" pitchFamily="34" charset="0"/>
            </a:rPr>
            <a:t> </a:t>
          </a:r>
          <a:r>
            <a:rPr lang="es-ES" sz="1400">
              <a:latin typeface="Arial" pitchFamily="34" charset="0"/>
              <a:cs typeface="Arial" pitchFamily="34" charset="0"/>
            </a:rPr>
            <a:t>Se trata de un extracto ligeramente modificado del catálogo de amenazas de MAGERIT.</a:t>
          </a:r>
        </a:p>
        <a:p>
          <a:pPr algn="l">
            <a:spcBef>
              <a:spcPts val="600"/>
            </a:spcBef>
            <a:spcAft>
              <a:spcPts val="600"/>
            </a:spcAft>
          </a:pPr>
          <a:r>
            <a:rPr lang="es-ES" sz="1400">
              <a:latin typeface="Arial" pitchFamily="34" charset="0"/>
              <a:cs typeface="Arial" pitchFamily="34" charset="0"/>
            </a:rPr>
            <a:t>Para</a:t>
          </a:r>
          <a:r>
            <a:rPr lang="es-ES" sz="1400" baseline="0">
              <a:latin typeface="Arial" pitchFamily="34" charset="0"/>
              <a:cs typeface="Arial" pitchFamily="34" charset="0"/>
            </a:rPr>
            <a:t> información más detallada, pueden consultarse los catálogos de MAGERIT V3 en su página web:</a:t>
          </a:r>
        </a:p>
        <a:p>
          <a:pPr algn="l">
            <a:spcBef>
              <a:spcPts val="600"/>
            </a:spcBef>
            <a:spcAft>
              <a:spcPts val="600"/>
            </a:spcAft>
          </a:pPr>
          <a:r>
            <a:rPr lang="es-ES" sz="1400" b="1" i="1">
              <a:latin typeface="Arial" pitchFamily="34" charset="0"/>
              <a:cs typeface="Arial" pitchFamily="34" charset="0"/>
            </a:rPr>
            <a:t>http://administracionelectronica.gob.es/ctt/verPestanaDescargas.htm?idIniciativa=184#.U48C7Pl_tO4</a:t>
          </a:r>
        </a:p>
      </xdr:txBody>
    </xdr:sp>
    <xdr:clientData fLocksWithSheet="0"/>
  </xdr:oneCellAnchor>
  <xdr:twoCellAnchor editAs="oneCell">
    <xdr:from>
      <xdr:col>1</xdr:col>
      <xdr:colOff>28575</xdr:colOff>
      <xdr:row>0</xdr:row>
      <xdr:rowOff>609600</xdr:rowOff>
    </xdr:from>
    <xdr:to>
      <xdr:col>1</xdr:col>
      <xdr:colOff>2505075</xdr:colOff>
      <xdr:row>0</xdr:row>
      <xdr:rowOff>1190625</xdr:rowOff>
    </xdr:to>
    <xdr:pic>
      <xdr:nvPicPr>
        <xdr:cNvPr id="1041" name="6 Imagen">
          <a:extLst>
            <a:ext uri="{FF2B5EF4-FFF2-40B4-BE49-F238E27FC236}">
              <a16:creationId xmlns:a16="http://schemas.microsoft.com/office/drawing/2014/main" id="{00000000-0008-0000-0300-000011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0575" y="609600"/>
          <a:ext cx="2476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21067</xdr:colOff>
      <xdr:row>0</xdr:row>
      <xdr:rowOff>2378120</xdr:rowOff>
    </xdr:from>
    <xdr:to>
      <xdr:col>12</xdr:col>
      <xdr:colOff>1</xdr:colOff>
      <xdr:row>0</xdr:row>
      <xdr:rowOff>2874781</xdr:rowOff>
    </xdr:to>
    <xdr:sp macro="" textlink="" fLocksText="0">
      <xdr:nvSpPr>
        <xdr:cNvPr id="8" name="7 CuadroTexto">
          <a:extLst>
            <a:ext uri="{FF2B5EF4-FFF2-40B4-BE49-F238E27FC236}">
              <a16:creationId xmlns:a16="http://schemas.microsoft.com/office/drawing/2014/main" id="{00000000-0008-0000-0300-000008000000}"/>
            </a:ext>
          </a:extLst>
        </xdr:cNvPr>
        <xdr:cNvSpPr txBox="1"/>
      </xdr:nvSpPr>
      <xdr:spPr>
        <a:xfrm>
          <a:off x="775447" y="2385740"/>
          <a:ext cx="11965642"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INCIBE no se responsabiliza del uso que pueda hacerse de la misma.</a:t>
          </a:r>
        </a:p>
      </xdr:txBody>
    </xdr:sp>
    <xdr:clientData fLock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0</xdr:col>
          <xdr:colOff>1400175</xdr:colOff>
          <xdr:row>2</xdr:row>
          <xdr:rowOff>152400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22"/>
  <sheetViews>
    <sheetView workbookViewId="0">
      <selection activeCell="H7" sqref="H7"/>
    </sheetView>
  </sheetViews>
  <sheetFormatPr baseColWidth="10" defaultColWidth="11.5703125" defaultRowHeight="14.25" x14ac:dyDescent="0.2"/>
  <cols>
    <col min="1" max="1" width="3.28515625" style="25" customWidth="1"/>
    <col min="2" max="6" width="11.5703125" style="25"/>
    <col min="7" max="7" width="13.28515625" style="25" customWidth="1"/>
    <col min="8" max="13" width="11.5703125" style="25"/>
    <col min="14" max="14" width="22" style="25" customWidth="1"/>
    <col min="15" max="16384" width="11.5703125" style="25"/>
  </cols>
  <sheetData>
    <row r="1" spans="1:14" ht="23.45" customHeight="1" thickTop="1" x14ac:dyDescent="0.2">
      <c r="A1" s="46"/>
      <c r="B1" s="47"/>
      <c r="C1" s="47"/>
      <c r="D1" s="47"/>
      <c r="F1" s="55" t="s">
        <v>0</v>
      </c>
      <c r="G1" s="55"/>
      <c r="H1" s="55"/>
      <c r="I1" s="55"/>
      <c r="J1" s="55"/>
      <c r="K1" s="55"/>
      <c r="L1" s="55"/>
      <c r="M1" s="55"/>
      <c r="N1" s="56"/>
    </row>
    <row r="2" spans="1:14" ht="14.45" customHeight="1" x14ac:dyDescent="0.2">
      <c r="A2" s="48"/>
      <c r="E2" s="45"/>
      <c r="F2" s="57"/>
      <c r="G2" s="57"/>
      <c r="H2" s="57"/>
      <c r="I2" s="57"/>
      <c r="J2" s="57"/>
      <c r="K2" s="57"/>
      <c r="L2" s="57"/>
      <c r="M2" s="57"/>
      <c r="N2" s="58"/>
    </row>
    <row r="3" spans="1:14" ht="18" customHeight="1" x14ac:dyDescent="0.2">
      <c r="A3" s="48"/>
      <c r="F3" s="59" t="s">
        <v>102</v>
      </c>
      <c r="G3" s="59"/>
      <c r="H3" s="59"/>
      <c r="I3" s="59"/>
      <c r="J3" s="59"/>
      <c r="K3" s="59"/>
      <c r="L3" s="59"/>
      <c r="M3" s="59"/>
      <c r="N3" s="60"/>
    </row>
    <row r="4" spans="1:14" ht="14.45" customHeight="1" thickBot="1" x14ac:dyDescent="0.25">
      <c r="A4" s="49"/>
      <c r="B4" s="50"/>
      <c r="C4" s="50"/>
      <c r="D4" s="50"/>
      <c r="E4" s="51"/>
      <c r="F4" s="61"/>
      <c r="G4" s="61"/>
      <c r="H4" s="61"/>
      <c r="I4" s="61"/>
      <c r="J4" s="61"/>
      <c r="K4" s="61"/>
      <c r="L4" s="61"/>
      <c r="M4" s="61"/>
      <c r="N4" s="62"/>
    </row>
    <row r="5" spans="1:14" ht="15" thickTop="1" x14ac:dyDescent="0.2"/>
    <row r="6" spans="1:14" ht="18" customHeight="1" thickBot="1" x14ac:dyDescent="0.3">
      <c r="A6" s="52" t="s">
        <v>89</v>
      </c>
      <c r="B6" s="42" t="s">
        <v>90</v>
      </c>
      <c r="C6" s="43"/>
      <c r="D6" s="43"/>
      <c r="E6" s="43"/>
      <c r="F6" s="43"/>
      <c r="G6" s="43"/>
      <c r="H6" s="43"/>
      <c r="I6" s="43"/>
      <c r="J6" s="43"/>
      <c r="K6" s="43"/>
      <c r="L6" s="43"/>
      <c r="M6" s="43"/>
      <c r="N6" s="43"/>
    </row>
    <row r="7" spans="1:14" x14ac:dyDescent="0.2">
      <c r="A7" s="53"/>
    </row>
    <row r="8" spans="1:14" ht="25.15" customHeight="1" x14ac:dyDescent="0.2">
      <c r="A8" s="53"/>
      <c r="B8" s="40" t="s">
        <v>91</v>
      </c>
    </row>
    <row r="9" spans="1:14" s="40" customFormat="1" ht="25.15" customHeight="1" x14ac:dyDescent="0.25">
      <c r="A9" s="53"/>
      <c r="B9" s="40" t="s">
        <v>92</v>
      </c>
    </row>
    <row r="10" spans="1:14" s="40" customFormat="1" ht="18" customHeight="1" x14ac:dyDescent="0.25">
      <c r="A10" s="41" t="s">
        <v>99</v>
      </c>
      <c r="B10" s="39" t="s">
        <v>93</v>
      </c>
    </row>
    <row r="11" spans="1:14" s="40" customFormat="1" ht="18" customHeight="1" x14ac:dyDescent="0.25">
      <c r="A11" s="41" t="s">
        <v>99</v>
      </c>
      <c r="B11" s="39" t="s">
        <v>94</v>
      </c>
    </row>
    <row r="12" spans="1:14" s="40" customFormat="1" ht="18" customHeight="1" x14ac:dyDescent="0.25">
      <c r="A12" s="41" t="s">
        <v>99</v>
      </c>
      <c r="B12" s="39" t="s">
        <v>95</v>
      </c>
    </row>
    <row r="13" spans="1:14" s="40" customFormat="1" ht="18" customHeight="1" x14ac:dyDescent="0.25">
      <c r="A13" s="41" t="s">
        <v>99</v>
      </c>
      <c r="B13" s="39" t="s">
        <v>96</v>
      </c>
    </row>
    <row r="14" spans="1:14" s="40" customFormat="1" ht="18" customHeight="1" x14ac:dyDescent="0.25">
      <c r="A14" s="41" t="s">
        <v>99</v>
      </c>
      <c r="B14" s="39" t="s">
        <v>97</v>
      </c>
    </row>
    <row r="15" spans="1:14" s="40" customFormat="1" ht="18" customHeight="1" x14ac:dyDescent="0.25">
      <c r="A15" s="41" t="s">
        <v>99</v>
      </c>
      <c r="B15" s="39" t="s">
        <v>98</v>
      </c>
    </row>
    <row r="16" spans="1:14" ht="12.6" customHeight="1" x14ac:dyDescent="0.2">
      <c r="A16" s="53"/>
    </row>
    <row r="17" spans="1:14" ht="18" customHeight="1" thickBot="1" x14ac:dyDescent="0.3">
      <c r="A17" s="52" t="s">
        <v>100</v>
      </c>
      <c r="B17" s="42" t="s">
        <v>101</v>
      </c>
      <c r="C17" s="43"/>
      <c r="D17" s="43"/>
      <c r="E17" s="43"/>
      <c r="F17" s="43"/>
      <c r="G17" s="43"/>
      <c r="H17" s="43"/>
      <c r="I17" s="43"/>
      <c r="J17" s="43"/>
      <c r="K17" s="43"/>
      <c r="L17" s="43"/>
      <c r="M17" s="43"/>
      <c r="N17" s="43"/>
    </row>
    <row r="18" spans="1:14" ht="18" customHeight="1" x14ac:dyDescent="0.2">
      <c r="A18" s="53"/>
    </row>
    <row r="19" spans="1:14" ht="39.6" customHeight="1" x14ac:dyDescent="0.2">
      <c r="A19" s="44" t="s">
        <v>99</v>
      </c>
      <c r="B19" s="54" t="s">
        <v>103</v>
      </c>
      <c r="C19" s="54"/>
      <c r="D19" s="54"/>
      <c r="E19" s="54"/>
      <c r="F19" s="54"/>
      <c r="G19" s="54"/>
      <c r="H19" s="54"/>
      <c r="I19" s="54"/>
      <c r="J19" s="54"/>
      <c r="K19" s="54"/>
      <c r="L19" s="54"/>
      <c r="M19" s="54"/>
      <c r="N19" s="54"/>
    </row>
    <row r="20" spans="1:14" ht="51" customHeight="1" x14ac:dyDescent="0.2">
      <c r="A20" s="44" t="s">
        <v>99</v>
      </c>
      <c r="B20" s="54" t="s">
        <v>104</v>
      </c>
      <c r="C20" s="54"/>
      <c r="D20" s="54"/>
      <c r="E20" s="54"/>
      <c r="F20" s="54"/>
      <c r="G20" s="54"/>
      <c r="H20" s="54"/>
      <c r="I20" s="54"/>
      <c r="J20" s="54"/>
      <c r="K20" s="54"/>
      <c r="L20" s="54"/>
      <c r="M20" s="54"/>
      <c r="N20" s="54"/>
    </row>
    <row r="21" spans="1:14" ht="41.45" customHeight="1" x14ac:dyDescent="0.2">
      <c r="A21" s="44" t="s">
        <v>99</v>
      </c>
      <c r="B21" s="54" t="s">
        <v>105</v>
      </c>
      <c r="C21" s="54"/>
      <c r="D21" s="54"/>
      <c r="E21" s="54"/>
      <c r="F21" s="54"/>
      <c r="G21" s="54"/>
      <c r="H21" s="54"/>
      <c r="I21" s="54"/>
      <c r="J21" s="54"/>
      <c r="K21" s="54"/>
      <c r="L21" s="54"/>
      <c r="M21" s="54"/>
      <c r="N21" s="54"/>
    </row>
    <row r="22" spans="1:14" ht="51.6" customHeight="1" x14ac:dyDescent="0.2">
      <c r="A22" s="44" t="s">
        <v>99</v>
      </c>
      <c r="B22" s="54" t="s">
        <v>106</v>
      </c>
      <c r="C22" s="54"/>
      <c r="D22" s="54"/>
      <c r="E22" s="54"/>
      <c r="F22" s="54"/>
      <c r="G22" s="54"/>
      <c r="H22" s="54"/>
      <c r="I22" s="54"/>
      <c r="J22" s="54"/>
      <c r="K22" s="54"/>
      <c r="L22" s="54"/>
      <c r="M22" s="54"/>
      <c r="N22" s="54"/>
    </row>
  </sheetData>
  <mergeCells count="6">
    <mergeCell ref="B19:N19"/>
    <mergeCell ref="B20:N20"/>
    <mergeCell ref="B21:N21"/>
    <mergeCell ref="B22:N22"/>
    <mergeCell ref="F1:N2"/>
    <mergeCell ref="F3:N4"/>
  </mergeCell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B1:F12"/>
  <sheetViews>
    <sheetView zoomScale="85" zoomScaleNormal="85" workbookViewId="0">
      <selection activeCell="C12" sqref="C12"/>
    </sheetView>
  </sheetViews>
  <sheetFormatPr baseColWidth="10" defaultColWidth="11.42578125" defaultRowHeight="21.75" customHeight="1" x14ac:dyDescent="0.25"/>
  <cols>
    <col min="1" max="1" width="5.28515625" style="2" customWidth="1"/>
    <col min="2" max="2" width="34.5703125" style="2" customWidth="1"/>
    <col min="3" max="3" width="84.28515625" style="2" customWidth="1"/>
    <col min="4" max="4" width="18.7109375" style="2" customWidth="1"/>
    <col min="5" max="5" width="18.140625" style="2" customWidth="1"/>
    <col min="6" max="6" width="18.28515625" style="2" customWidth="1"/>
    <col min="7" max="16384" width="11.42578125" style="2"/>
  </cols>
  <sheetData>
    <row r="1" spans="2:6" ht="408" customHeight="1" thickBot="1" x14ac:dyDescent="0.3"/>
    <row r="2" spans="2:6" ht="35.25" customHeight="1" thickBot="1" x14ac:dyDescent="0.3">
      <c r="B2" s="63" t="s">
        <v>0</v>
      </c>
      <c r="C2" s="64"/>
      <c r="D2" s="64"/>
      <c r="E2" s="64"/>
      <c r="F2" s="65"/>
    </row>
    <row r="3" spans="2:6" ht="21.75" customHeight="1" x14ac:dyDescent="0.25">
      <c r="B3" s="7" t="s">
        <v>1</v>
      </c>
      <c r="C3" s="7" t="s">
        <v>2</v>
      </c>
      <c r="D3" s="7" t="s">
        <v>3</v>
      </c>
      <c r="E3" s="7" t="s">
        <v>4</v>
      </c>
      <c r="F3" s="7" t="s">
        <v>5</v>
      </c>
    </row>
    <row r="4" spans="2:6" ht="26.25" customHeight="1" x14ac:dyDescent="0.25">
      <c r="B4" s="12" t="s">
        <v>6</v>
      </c>
      <c r="C4" s="13" t="s">
        <v>40</v>
      </c>
      <c r="D4" s="14">
        <v>2</v>
      </c>
      <c r="E4" s="14">
        <v>3</v>
      </c>
      <c r="F4" s="14">
        <f t="shared" ref="F4:F9" si="0">D4*E4</f>
        <v>6</v>
      </c>
    </row>
    <row r="5" spans="2:6" ht="26.25" customHeight="1" x14ac:dyDescent="0.25">
      <c r="B5" s="12" t="s">
        <v>6</v>
      </c>
      <c r="C5" s="13" t="s">
        <v>46</v>
      </c>
      <c r="D5" s="14">
        <v>1</v>
      </c>
      <c r="E5" s="14">
        <v>3</v>
      </c>
      <c r="F5" s="14">
        <f t="shared" si="0"/>
        <v>3</v>
      </c>
    </row>
    <row r="6" spans="2:6" ht="26.25" customHeight="1" x14ac:dyDescent="0.25">
      <c r="B6" s="12" t="s">
        <v>7</v>
      </c>
      <c r="C6" s="13" t="s">
        <v>50</v>
      </c>
      <c r="D6" s="14">
        <v>1</v>
      </c>
      <c r="E6" s="14">
        <v>2</v>
      </c>
      <c r="F6" s="14">
        <f t="shared" si="0"/>
        <v>2</v>
      </c>
    </row>
    <row r="7" spans="2:6" ht="26.25" customHeight="1" x14ac:dyDescent="0.25">
      <c r="B7" s="12" t="s">
        <v>7</v>
      </c>
      <c r="C7" s="13" t="s">
        <v>55</v>
      </c>
      <c r="D7" s="14">
        <v>2</v>
      </c>
      <c r="E7" s="14">
        <v>1</v>
      </c>
      <c r="F7" s="14">
        <f t="shared" si="0"/>
        <v>2</v>
      </c>
    </row>
    <row r="8" spans="2:6" ht="26.25" customHeight="1" x14ac:dyDescent="0.25">
      <c r="B8" s="15" t="s">
        <v>8</v>
      </c>
      <c r="C8" s="13" t="s">
        <v>55</v>
      </c>
      <c r="D8" s="16">
        <v>3</v>
      </c>
      <c r="E8" s="16">
        <v>2</v>
      </c>
      <c r="F8" s="14">
        <f t="shared" si="0"/>
        <v>6</v>
      </c>
    </row>
    <row r="9" spans="2:6" ht="26.25" customHeight="1" x14ac:dyDescent="0.25">
      <c r="B9" s="15" t="s">
        <v>8</v>
      </c>
      <c r="C9" s="13" t="s">
        <v>32</v>
      </c>
      <c r="D9" s="16">
        <v>1</v>
      </c>
      <c r="E9" s="16">
        <v>2</v>
      </c>
      <c r="F9" s="14">
        <f t="shared" si="0"/>
        <v>2</v>
      </c>
    </row>
    <row r="10" spans="2:6" ht="26.25" customHeight="1" x14ac:dyDescent="0.25">
      <c r="B10" s="15" t="s">
        <v>9</v>
      </c>
      <c r="C10" s="13"/>
      <c r="D10" s="15"/>
      <c r="E10" s="15"/>
      <c r="F10" s="14"/>
    </row>
    <row r="11" spans="2:6" ht="26.25" customHeight="1" x14ac:dyDescent="0.25">
      <c r="B11" s="15"/>
      <c r="C11" s="15"/>
      <c r="D11" s="15"/>
      <c r="E11" s="15"/>
      <c r="F11" s="14"/>
    </row>
    <row r="12" spans="2:6" ht="26.25" customHeight="1" x14ac:dyDescent="0.25">
      <c r="B12" s="15"/>
      <c r="C12" s="17" t="s">
        <v>28</v>
      </c>
      <c r="D12" s="15"/>
      <c r="E12" s="15"/>
      <c r="F12" s="14"/>
    </row>
  </sheetData>
  <mergeCells count="1">
    <mergeCell ref="B2:F2"/>
  </mergeCells>
  <conditionalFormatting sqref="F4:F12">
    <cfRule type="colorScale" priority="3">
      <colorScale>
        <cfvo type="min"/>
        <cfvo type="percentile" val="50"/>
        <cfvo type="max"/>
        <color rgb="FFF8696B"/>
        <color rgb="FFFFEB84"/>
        <color rgb="FF63BE7B"/>
      </colorScale>
    </cfRule>
  </conditionalFormatting>
  <conditionalFormatting sqref="F4:F9">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E19"/>
  <sheetViews>
    <sheetView topLeftCell="A4" zoomScaleNormal="100" workbookViewId="0">
      <selection activeCell="C12" sqref="C12"/>
    </sheetView>
  </sheetViews>
  <sheetFormatPr baseColWidth="10" defaultColWidth="11.42578125" defaultRowHeight="14.25" x14ac:dyDescent="0.25"/>
  <cols>
    <col min="1" max="1" width="7.42578125" style="2" customWidth="1"/>
    <col min="2" max="2" width="16.140625" style="2" customWidth="1"/>
    <col min="3" max="3" width="149.85546875" style="2" customWidth="1"/>
    <col min="4" max="5" width="11.42578125" style="2"/>
    <col min="6" max="6" width="16.7109375" style="2" customWidth="1"/>
    <col min="7" max="7" width="11.42578125" style="2"/>
    <col min="8" max="8" width="11.42578125" style="2" customWidth="1"/>
    <col min="9" max="9" width="11.42578125" style="2"/>
    <col min="10" max="10" width="9" style="2" customWidth="1"/>
    <col min="11" max="16384" width="11.42578125" style="2"/>
  </cols>
  <sheetData>
    <row r="1" spans="2:5" ht="174.75" customHeight="1" thickBot="1" x14ac:dyDescent="0.3"/>
    <row r="2" spans="2:5" ht="27" customHeight="1" thickBot="1" x14ac:dyDescent="0.3">
      <c r="B2" s="66" t="s">
        <v>18</v>
      </c>
      <c r="C2" s="67"/>
    </row>
    <row r="3" spans="2:5" ht="27" customHeight="1" x14ac:dyDescent="0.25">
      <c r="B3" s="7" t="s">
        <v>16</v>
      </c>
      <c r="C3" s="7" t="s">
        <v>17</v>
      </c>
    </row>
    <row r="4" spans="2:5" ht="27" customHeight="1" x14ac:dyDescent="0.25">
      <c r="B4" s="8" t="s">
        <v>25</v>
      </c>
      <c r="C4" s="9" t="s">
        <v>10</v>
      </c>
    </row>
    <row r="5" spans="2:5" ht="27" customHeight="1" x14ac:dyDescent="0.25">
      <c r="B5" s="8" t="s">
        <v>26</v>
      </c>
      <c r="C5" s="9" t="s">
        <v>11</v>
      </c>
    </row>
    <row r="6" spans="2:5" ht="27" customHeight="1" x14ac:dyDescent="0.25">
      <c r="B6" s="8" t="s">
        <v>27</v>
      </c>
      <c r="C6" s="9" t="s">
        <v>12</v>
      </c>
    </row>
    <row r="7" spans="2:5" ht="27" customHeight="1" thickBot="1" x14ac:dyDescent="0.3"/>
    <row r="8" spans="2:5" ht="27" customHeight="1" thickBot="1" x14ac:dyDescent="0.3">
      <c r="B8" s="66" t="s">
        <v>19</v>
      </c>
      <c r="C8" s="67"/>
    </row>
    <row r="9" spans="2:5" ht="27" customHeight="1" x14ac:dyDescent="0.25">
      <c r="B9" s="7" t="s">
        <v>16</v>
      </c>
      <c r="C9" s="7" t="s">
        <v>17</v>
      </c>
      <c r="E9" s="2" t="s">
        <v>23</v>
      </c>
    </row>
    <row r="10" spans="2:5" ht="27" customHeight="1" x14ac:dyDescent="0.25">
      <c r="B10" s="8" t="s">
        <v>25</v>
      </c>
      <c r="C10" s="10" t="s">
        <v>13</v>
      </c>
    </row>
    <row r="11" spans="2:5" ht="27" customHeight="1" x14ac:dyDescent="0.25">
      <c r="B11" s="8" t="s">
        <v>26</v>
      </c>
      <c r="C11" s="10" t="s">
        <v>14</v>
      </c>
    </row>
    <row r="12" spans="2:5" ht="27" customHeight="1" x14ac:dyDescent="0.25">
      <c r="B12" s="8" t="s">
        <v>27</v>
      </c>
      <c r="C12" s="10" t="s">
        <v>15</v>
      </c>
    </row>
    <row r="13" spans="2:5" ht="27" customHeight="1" thickBot="1" x14ac:dyDescent="0.3"/>
    <row r="14" spans="2:5" ht="27" customHeight="1" thickBot="1" x14ac:dyDescent="0.3">
      <c r="B14" s="66" t="s">
        <v>20</v>
      </c>
      <c r="C14" s="67"/>
    </row>
    <row r="15" spans="2:5" ht="27" customHeight="1" x14ac:dyDescent="0.25">
      <c r="B15" s="7" t="s">
        <v>21</v>
      </c>
      <c r="C15" s="7" t="s">
        <v>17</v>
      </c>
    </row>
    <row r="16" spans="2:5" ht="27" customHeight="1" x14ac:dyDescent="0.25">
      <c r="B16" s="11" t="s">
        <v>60</v>
      </c>
      <c r="C16" s="10" t="s">
        <v>22</v>
      </c>
    </row>
    <row r="17" spans="1:3" ht="27" customHeight="1" x14ac:dyDescent="0.25">
      <c r="A17" s="2" t="s">
        <v>23</v>
      </c>
      <c r="B17" s="1" t="s">
        <v>61</v>
      </c>
      <c r="C17" s="10" t="s">
        <v>24</v>
      </c>
    </row>
    <row r="18" spans="1:3" ht="27" customHeight="1" x14ac:dyDescent="0.25">
      <c r="A18" s="2" t="s">
        <v>66</v>
      </c>
    </row>
    <row r="19" spans="1:3" x14ac:dyDescent="0.25">
      <c r="A19" s="2" t="s">
        <v>67</v>
      </c>
    </row>
  </sheetData>
  <sheetProtection password="CB78" sheet="1" objects="1" scenarios="1"/>
  <mergeCells count="3">
    <mergeCell ref="B8:C8"/>
    <mergeCell ref="B2:C2"/>
    <mergeCell ref="B14:C1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L33"/>
  <sheetViews>
    <sheetView zoomScale="85" zoomScaleNormal="85" workbookViewId="0">
      <selection activeCell="P1" sqref="P1"/>
    </sheetView>
  </sheetViews>
  <sheetFormatPr baseColWidth="10" defaultColWidth="11.42578125" defaultRowHeight="14.25" x14ac:dyDescent="0.25"/>
  <cols>
    <col min="1" max="1" width="11.42578125" style="2"/>
    <col min="2" max="2" width="58.42578125" style="2" customWidth="1"/>
    <col min="3" max="3" width="4.85546875" style="2" customWidth="1"/>
    <col min="4" max="7" width="11.42578125" style="2"/>
    <col min="8" max="8" width="19" style="2" customWidth="1"/>
    <col min="9" max="9" width="5.7109375" style="2" customWidth="1"/>
    <col min="10" max="10" width="11.42578125" style="2"/>
    <col min="11" max="11" width="11.42578125" style="2" customWidth="1"/>
    <col min="12" max="12" width="23" style="2" customWidth="1"/>
    <col min="13" max="16384" width="11.42578125" style="2"/>
  </cols>
  <sheetData>
    <row r="1" spans="2:12" ht="240.75" customHeight="1" x14ac:dyDescent="0.25"/>
    <row r="2" spans="2:12" ht="23.25" customHeight="1" x14ac:dyDescent="0.25">
      <c r="B2" s="5" t="s">
        <v>59</v>
      </c>
      <c r="C2" s="6"/>
      <c r="D2" s="70" t="s">
        <v>59</v>
      </c>
      <c r="E2" s="70"/>
      <c r="F2" s="70"/>
      <c r="G2" s="70"/>
      <c r="H2" s="70"/>
      <c r="I2" s="6"/>
      <c r="J2" s="70" t="s">
        <v>59</v>
      </c>
      <c r="K2" s="70"/>
      <c r="L2" s="70"/>
    </row>
    <row r="3" spans="2:12" ht="23.25" customHeight="1" x14ac:dyDescent="0.25">
      <c r="B3" s="4" t="s">
        <v>29</v>
      </c>
      <c r="D3" s="72" t="s">
        <v>32</v>
      </c>
      <c r="E3" s="72"/>
      <c r="F3" s="72"/>
      <c r="G3" s="72"/>
      <c r="H3" s="72"/>
      <c r="J3" s="69" t="s">
        <v>37</v>
      </c>
      <c r="K3" s="69"/>
      <c r="L3" s="69"/>
    </row>
    <row r="4" spans="2:12" ht="23.25" customHeight="1" x14ac:dyDescent="0.25">
      <c r="B4" s="4" t="s">
        <v>30</v>
      </c>
      <c r="D4" s="72" t="s">
        <v>33</v>
      </c>
      <c r="E4" s="72"/>
      <c r="F4" s="72"/>
      <c r="G4" s="72"/>
      <c r="H4" s="72"/>
      <c r="J4" s="69" t="s">
        <v>38</v>
      </c>
      <c r="K4" s="69"/>
      <c r="L4" s="69"/>
    </row>
    <row r="5" spans="2:12" ht="23.25" customHeight="1" x14ac:dyDescent="0.25">
      <c r="B5" s="4" t="s">
        <v>31</v>
      </c>
      <c r="D5" s="72" t="s">
        <v>34</v>
      </c>
      <c r="E5" s="72"/>
      <c r="F5" s="72"/>
      <c r="G5" s="72"/>
      <c r="H5" s="72"/>
      <c r="J5" s="69" t="s">
        <v>39</v>
      </c>
      <c r="K5" s="69"/>
      <c r="L5" s="69"/>
    </row>
    <row r="6" spans="2:12" ht="23.25" customHeight="1" x14ac:dyDescent="0.25">
      <c r="D6" s="72" t="s">
        <v>35</v>
      </c>
      <c r="E6" s="72"/>
      <c r="F6" s="72"/>
      <c r="G6" s="72"/>
      <c r="H6" s="72"/>
      <c r="K6" s="6"/>
    </row>
    <row r="7" spans="2:12" ht="23.25" customHeight="1" x14ac:dyDescent="0.25">
      <c r="B7" s="5" t="s">
        <v>59</v>
      </c>
      <c r="D7" s="72" t="s">
        <v>36</v>
      </c>
      <c r="E7" s="72"/>
      <c r="F7" s="72"/>
      <c r="G7" s="72"/>
      <c r="H7" s="72"/>
      <c r="J7" s="70" t="s">
        <v>59</v>
      </c>
      <c r="K7" s="70"/>
      <c r="L7" s="70"/>
    </row>
    <row r="8" spans="2:12" ht="23.25" customHeight="1" x14ac:dyDescent="0.25">
      <c r="B8" s="3" t="s">
        <v>40</v>
      </c>
      <c r="J8" s="68" t="s">
        <v>55</v>
      </c>
      <c r="K8" s="68"/>
      <c r="L8" s="68"/>
    </row>
    <row r="9" spans="2:12" ht="23.25" customHeight="1" x14ac:dyDescent="0.25">
      <c r="B9" s="3" t="s">
        <v>41</v>
      </c>
      <c r="D9" s="70" t="s">
        <v>59</v>
      </c>
      <c r="E9" s="70"/>
      <c r="F9" s="70"/>
      <c r="G9" s="70"/>
      <c r="H9" s="70"/>
      <c r="J9" s="68" t="s">
        <v>56</v>
      </c>
      <c r="K9" s="68"/>
      <c r="L9" s="68"/>
    </row>
    <row r="10" spans="2:12" ht="23.25" customHeight="1" x14ac:dyDescent="0.25">
      <c r="B10" s="3" t="s">
        <v>42</v>
      </c>
      <c r="D10" s="71" t="s">
        <v>46</v>
      </c>
      <c r="E10" s="71"/>
      <c r="F10" s="71"/>
      <c r="G10" s="71"/>
      <c r="H10" s="71"/>
      <c r="J10" s="68" t="s">
        <v>52</v>
      </c>
      <c r="K10" s="68"/>
      <c r="L10" s="68"/>
    </row>
    <row r="11" spans="2:12" ht="23.25" customHeight="1" x14ac:dyDescent="0.25">
      <c r="B11" s="3" t="s">
        <v>43</v>
      </c>
      <c r="D11" s="71" t="s">
        <v>47</v>
      </c>
      <c r="E11" s="71"/>
      <c r="F11" s="71"/>
      <c r="G11" s="71"/>
      <c r="H11" s="71"/>
      <c r="J11" s="68" t="s">
        <v>57</v>
      </c>
      <c r="K11" s="68"/>
      <c r="L11" s="68"/>
    </row>
    <row r="12" spans="2:12" ht="23.25" customHeight="1" x14ac:dyDescent="0.25">
      <c r="B12" s="3" t="s">
        <v>44</v>
      </c>
      <c r="D12" s="71" t="s">
        <v>48</v>
      </c>
      <c r="E12" s="71"/>
      <c r="F12" s="71"/>
      <c r="G12" s="71"/>
      <c r="H12" s="71"/>
      <c r="J12" s="68" t="s">
        <v>58</v>
      </c>
      <c r="K12" s="68"/>
      <c r="L12" s="68"/>
    </row>
    <row r="13" spans="2:12" ht="23.25" customHeight="1" x14ac:dyDescent="0.25">
      <c r="B13" s="3" t="s">
        <v>45</v>
      </c>
      <c r="D13" s="71" t="s">
        <v>49</v>
      </c>
      <c r="E13" s="71"/>
      <c r="F13" s="71"/>
      <c r="G13" s="71"/>
      <c r="H13" s="71"/>
    </row>
    <row r="14" spans="2:12" ht="23.25" customHeight="1" x14ac:dyDescent="0.25">
      <c r="D14" s="71" t="s">
        <v>50</v>
      </c>
      <c r="E14" s="71"/>
      <c r="F14" s="71"/>
      <c r="G14" s="71"/>
      <c r="H14" s="71"/>
    </row>
    <row r="15" spans="2:12" ht="23.25" customHeight="1" x14ac:dyDescent="0.25">
      <c r="D15" s="71" t="s">
        <v>51</v>
      </c>
      <c r="E15" s="71"/>
      <c r="F15" s="71"/>
      <c r="G15" s="71"/>
      <c r="H15" s="71"/>
    </row>
    <row r="16" spans="2:12" ht="23.25" customHeight="1" x14ac:dyDescent="0.25">
      <c r="D16" s="71" t="s">
        <v>52</v>
      </c>
      <c r="E16" s="71"/>
      <c r="F16" s="71"/>
      <c r="G16" s="71"/>
      <c r="H16" s="71"/>
    </row>
    <row r="17" spans="4:8" ht="23.25" customHeight="1" x14ac:dyDescent="0.25">
      <c r="D17" s="71" t="s">
        <v>53</v>
      </c>
      <c r="E17" s="71"/>
      <c r="F17" s="71"/>
      <c r="G17" s="71"/>
      <c r="H17" s="71"/>
    </row>
    <row r="18" spans="4:8" ht="23.25" customHeight="1" x14ac:dyDescent="0.25">
      <c r="D18" s="71" t="s">
        <v>54</v>
      </c>
      <c r="E18" s="71"/>
      <c r="F18" s="71"/>
      <c r="G18" s="71"/>
      <c r="H18" s="71"/>
    </row>
    <row r="19" spans="4:8" ht="23.25" customHeight="1" x14ac:dyDescent="0.25"/>
    <row r="20" spans="4:8" ht="23.25" customHeight="1" x14ac:dyDescent="0.25"/>
    <row r="21" spans="4:8" ht="19.5" customHeight="1" x14ac:dyDescent="0.25"/>
    <row r="22" spans="4:8" ht="19.5" customHeight="1" x14ac:dyDescent="0.25"/>
    <row r="23" spans="4:8" ht="19.5" customHeight="1" x14ac:dyDescent="0.25"/>
    <row r="24" spans="4:8" ht="19.5" customHeight="1" x14ac:dyDescent="0.25"/>
    <row r="25" spans="4:8" ht="19.5" customHeight="1" x14ac:dyDescent="0.25"/>
    <row r="26" spans="4:8" ht="19.5" customHeight="1" x14ac:dyDescent="0.25"/>
    <row r="27" spans="4:8" ht="19.5" customHeight="1" x14ac:dyDescent="0.25"/>
    <row r="28" spans="4:8" ht="19.5" customHeight="1" x14ac:dyDescent="0.25"/>
    <row r="29" spans="4:8" ht="19.5" customHeight="1" x14ac:dyDescent="0.25"/>
    <row r="30" spans="4:8" ht="19.5" customHeight="1" x14ac:dyDescent="0.25"/>
    <row r="31" spans="4:8" ht="19.5" customHeight="1" x14ac:dyDescent="0.25"/>
    <row r="32" spans="4:8" ht="19.5" customHeight="1" x14ac:dyDescent="0.25"/>
    <row r="33" ht="19.5" customHeight="1" x14ac:dyDescent="0.25"/>
  </sheetData>
  <sheetProtection password="CB78" sheet="1" objects="1" scenarios="1"/>
  <mergeCells count="26">
    <mergeCell ref="D15:H15"/>
    <mergeCell ref="D16:H16"/>
    <mergeCell ref="D17:H17"/>
    <mergeCell ref="D18:H18"/>
    <mergeCell ref="D3:H3"/>
    <mergeCell ref="D4:H4"/>
    <mergeCell ref="D5:H5"/>
    <mergeCell ref="D6:H6"/>
    <mergeCell ref="D7:H7"/>
    <mergeCell ref="D9:H9"/>
    <mergeCell ref="D13:H13"/>
    <mergeCell ref="D14:H14"/>
    <mergeCell ref="J9:L9"/>
    <mergeCell ref="J10:L10"/>
    <mergeCell ref="J11:L11"/>
    <mergeCell ref="J12:L12"/>
    <mergeCell ref="D10:H10"/>
    <mergeCell ref="D11:H11"/>
    <mergeCell ref="D12:H12"/>
    <mergeCell ref="J8:L8"/>
    <mergeCell ref="J3:L3"/>
    <mergeCell ref="J4:L4"/>
    <mergeCell ref="J5:L5"/>
    <mergeCell ref="D2:H2"/>
    <mergeCell ref="J2:L2"/>
    <mergeCell ref="J7:L7"/>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A1:D11"/>
  <sheetViews>
    <sheetView workbookViewId="0">
      <selection activeCell="D45" sqref="D45"/>
    </sheetView>
  </sheetViews>
  <sheetFormatPr baseColWidth="10" defaultColWidth="11.5703125" defaultRowHeight="14.25" x14ac:dyDescent="0.2"/>
  <cols>
    <col min="1" max="1" width="11.5703125" style="25"/>
    <col min="2" max="2" width="16.7109375" style="25" customWidth="1"/>
    <col min="3" max="3" width="72.7109375" style="18" customWidth="1"/>
    <col min="4" max="4" width="14" style="25" customWidth="1"/>
    <col min="5" max="16384" width="11.5703125" style="25"/>
  </cols>
  <sheetData>
    <row r="1" spans="1:4" ht="16.5" thickTop="1" thickBot="1" x14ac:dyDescent="0.3">
      <c r="B1" s="26" t="s">
        <v>68</v>
      </c>
      <c r="C1" s="27" t="s">
        <v>62</v>
      </c>
      <c r="D1" s="26" t="s">
        <v>83</v>
      </c>
    </row>
    <row r="2" spans="1:4" ht="15.75" thickTop="1" thickBot="1" x14ac:dyDescent="0.25"/>
    <row r="3" spans="1:4" x14ac:dyDescent="0.2">
      <c r="A3" s="73" t="s">
        <v>63</v>
      </c>
      <c r="B3" s="28" t="s">
        <v>69</v>
      </c>
      <c r="C3" s="18" t="s">
        <v>107</v>
      </c>
      <c r="D3" s="31" t="s">
        <v>66</v>
      </c>
    </row>
    <row r="4" spans="1:4" x14ac:dyDescent="0.2">
      <c r="A4" s="74"/>
      <c r="B4" s="29" t="s">
        <v>72</v>
      </c>
      <c r="C4" s="18" t="s">
        <v>108</v>
      </c>
      <c r="D4" s="32" t="s">
        <v>66</v>
      </c>
    </row>
    <row r="5" spans="1:4" ht="15" thickBot="1" x14ac:dyDescent="0.25">
      <c r="A5" s="75"/>
      <c r="B5" s="30" t="s">
        <v>73</v>
      </c>
      <c r="C5" s="18" t="s">
        <v>109</v>
      </c>
      <c r="D5" s="33" t="s">
        <v>66</v>
      </c>
    </row>
    <row r="6" spans="1:4" x14ac:dyDescent="0.2">
      <c r="A6" s="76" t="s">
        <v>64</v>
      </c>
      <c r="B6" s="28" t="s">
        <v>70</v>
      </c>
      <c r="C6" s="18" t="s">
        <v>110</v>
      </c>
      <c r="D6" s="34" t="s">
        <v>66</v>
      </c>
    </row>
    <row r="7" spans="1:4" x14ac:dyDescent="0.2">
      <c r="A7" s="77"/>
      <c r="B7" s="29" t="s">
        <v>74</v>
      </c>
      <c r="C7" s="18" t="s">
        <v>111</v>
      </c>
      <c r="D7" s="35" t="s">
        <v>66</v>
      </c>
    </row>
    <row r="8" spans="1:4" x14ac:dyDescent="0.2">
      <c r="A8" s="77"/>
      <c r="B8" s="29" t="s">
        <v>75</v>
      </c>
      <c r="C8" s="18" t="s">
        <v>112</v>
      </c>
      <c r="D8" s="35" t="s">
        <v>66</v>
      </c>
    </row>
    <row r="9" spans="1:4" ht="15" thickBot="1" x14ac:dyDescent="0.25">
      <c r="A9" s="78"/>
      <c r="B9" s="30" t="s">
        <v>76</v>
      </c>
      <c r="C9" s="18" t="s">
        <v>113</v>
      </c>
      <c r="D9" s="36" t="s">
        <v>66</v>
      </c>
    </row>
    <row r="10" spans="1:4" x14ac:dyDescent="0.2">
      <c r="A10" s="79" t="s">
        <v>65</v>
      </c>
      <c r="B10" s="28" t="s">
        <v>71</v>
      </c>
      <c r="C10" s="18" t="s">
        <v>114</v>
      </c>
      <c r="D10" s="37" t="s">
        <v>66</v>
      </c>
    </row>
    <row r="11" spans="1:4" x14ac:dyDescent="0.2">
      <c r="A11" s="80"/>
      <c r="B11" s="29" t="s">
        <v>77</v>
      </c>
      <c r="C11" s="18" t="s">
        <v>115</v>
      </c>
      <c r="D11" s="38" t="s">
        <v>66</v>
      </c>
    </row>
  </sheetData>
  <mergeCells count="3">
    <mergeCell ref="A3:A5"/>
    <mergeCell ref="A6:A9"/>
    <mergeCell ref="A10:A11"/>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'Tablas AR'!$A$18:$A$19</xm:f>
          </x14:formula1>
          <xm:sqref>D2:D11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3"/>
  </sheetPr>
  <dimension ref="A1:O32"/>
  <sheetViews>
    <sheetView workbookViewId="0">
      <pane xSplit="1" ySplit="1" topLeftCell="B2" activePane="bottomRight" state="frozen"/>
      <selection pane="topRight" activeCell="B1" sqref="B1"/>
      <selection pane="bottomLeft" activeCell="A2" sqref="A2"/>
      <selection pane="bottomRight" activeCell="J5" sqref="J5"/>
    </sheetView>
  </sheetViews>
  <sheetFormatPr baseColWidth="10" defaultRowHeight="15" x14ac:dyDescent="0.25"/>
  <cols>
    <col min="1" max="1" width="64.85546875" customWidth="1"/>
  </cols>
  <sheetData>
    <row r="1" spans="1:15" x14ac:dyDescent="0.25">
      <c r="A1" t="s">
        <v>88</v>
      </c>
      <c r="B1" t="s">
        <v>69</v>
      </c>
      <c r="C1" t="s">
        <v>72</v>
      </c>
      <c r="D1" t="s">
        <v>73</v>
      </c>
      <c r="E1" t="s">
        <v>70</v>
      </c>
      <c r="F1" t="s">
        <v>74</v>
      </c>
      <c r="G1" t="s">
        <v>75</v>
      </c>
      <c r="H1" t="s">
        <v>76</v>
      </c>
      <c r="I1" t="s">
        <v>71</v>
      </c>
      <c r="J1" t="s">
        <v>77</v>
      </c>
      <c r="K1" t="s">
        <v>78</v>
      </c>
      <c r="L1" t="s">
        <v>79</v>
      </c>
      <c r="M1" t="s">
        <v>80</v>
      </c>
      <c r="N1" t="s">
        <v>81</v>
      </c>
      <c r="O1" t="s">
        <v>82</v>
      </c>
    </row>
    <row r="2" spans="1:15" x14ac:dyDescent="0.25">
      <c r="A2" s="4" t="s">
        <v>29</v>
      </c>
      <c r="B2" s="23"/>
      <c r="C2" s="23"/>
      <c r="D2" s="23"/>
      <c r="E2" s="23"/>
      <c r="F2" s="23"/>
      <c r="G2" s="23"/>
      <c r="H2" s="23"/>
      <c r="I2" s="23"/>
      <c r="J2" s="23"/>
      <c r="K2" s="23"/>
      <c r="L2" s="23"/>
      <c r="M2" s="23"/>
      <c r="N2" s="23"/>
      <c r="O2" s="23"/>
    </row>
    <row r="3" spans="1:15" x14ac:dyDescent="0.25">
      <c r="A3" s="4" t="s">
        <v>30</v>
      </c>
      <c r="B3" s="23"/>
      <c r="C3" s="23"/>
      <c r="D3" s="23"/>
      <c r="E3" s="23"/>
      <c r="F3" s="23"/>
      <c r="G3" s="23"/>
      <c r="H3" s="23"/>
      <c r="I3" s="23"/>
      <c r="J3" s="23"/>
      <c r="K3" s="23"/>
      <c r="L3" s="23"/>
      <c r="M3" s="23"/>
      <c r="N3" s="23"/>
      <c r="O3" s="23"/>
    </row>
    <row r="4" spans="1:15" x14ac:dyDescent="0.25">
      <c r="A4" s="4" t="s">
        <v>31</v>
      </c>
      <c r="B4" s="23"/>
      <c r="C4" s="23"/>
      <c r="D4" s="23"/>
      <c r="E4" s="23"/>
      <c r="F4" s="23"/>
      <c r="G4" s="23"/>
      <c r="H4" s="23"/>
      <c r="I4" s="23"/>
      <c r="J4" s="23"/>
      <c r="K4" s="23"/>
      <c r="L4" s="23"/>
      <c r="M4" s="23"/>
      <c r="N4" s="23"/>
      <c r="O4" s="23"/>
    </row>
    <row r="5" spans="1:15" x14ac:dyDescent="0.25">
      <c r="A5" s="3" t="s">
        <v>40</v>
      </c>
      <c r="B5" s="23" t="s">
        <v>67</v>
      </c>
      <c r="C5" s="23" t="s">
        <v>67</v>
      </c>
      <c r="D5" s="23" t="s">
        <v>66</v>
      </c>
      <c r="E5" s="23" t="s">
        <v>66</v>
      </c>
      <c r="F5" s="23" t="s">
        <v>66</v>
      </c>
      <c r="G5" s="23" t="s">
        <v>66</v>
      </c>
      <c r="H5" s="23" t="s">
        <v>66</v>
      </c>
      <c r="I5" s="23" t="s">
        <v>67</v>
      </c>
      <c r="J5" s="23" t="s">
        <v>66</v>
      </c>
      <c r="K5" s="23"/>
      <c r="L5" s="23"/>
      <c r="M5" s="23"/>
      <c r="N5" s="23"/>
      <c r="O5" s="23"/>
    </row>
    <row r="6" spans="1:15" x14ac:dyDescent="0.25">
      <c r="A6" s="3" t="s">
        <v>41</v>
      </c>
      <c r="B6" s="23"/>
      <c r="C6" s="23"/>
      <c r="D6" s="23"/>
      <c r="E6" s="23"/>
      <c r="F6" s="23"/>
      <c r="G6" s="23"/>
      <c r="H6" s="23"/>
      <c r="I6" s="23"/>
      <c r="J6" s="23"/>
      <c r="K6" s="23"/>
      <c r="L6" s="23"/>
      <c r="M6" s="23"/>
      <c r="N6" s="23"/>
      <c r="O6" s="23"/>
    </row>
    <row r="7" spans="1:15" x14ac:dyDescent="0.25">
      <c r="A7" s="3" t="s">
        <v>42</v>
      </c>
      <c r="B7" s="23"/>
      <c r="C7" s="23"/>
      <c r="D7" s="23"/>
      <c r="E7" s="23"/>
      <c r="F7" s="23"/>
      <c r="G7" s="23"/>
      <c r="H7" s="23"/>
      <c r="I7" s="23"/>
      <c r="J7" s="23"/>
      <c r="K7" s="23"/>
      <c r="L7" s="23"/>
      <c r="M7" s="23"/>
      <c r="N7" s="23"/>
      <c r="O7" s="23"/>
    </row>
    <row r="8" spans="1:15" x14ac:dyDescent="0.25">
      <c r="A8" s="3" t="s">
        <v>43</v>
      </c>
      <c r="B8" s="23"/>
      <c r="C8" s="23"/>
      <c r="D8" s="23"/>
      <c r="E8" s="23"/>
      <c r="F8" s="23"/>
      <c r="G8" s="23"/>
      <c r="H8" s="23"/>
      <c r="I8" s="23"/>
      <c r="J8" s="23"/>
      <c r="K8" s="23"/>
      <c r="L8" s="23"/>
      <c r="M8" s="23"/>
      <c r="N8" s="23"/>
      <c r="O8" s="23"/>
    </row>
    <row r="9" spans="1:15" x14ac:dyDescent="0.25">
      <c r="A9" s="3" t="s">
        <v>44</v>
      </c>
      <c r="B9" s="23"/>
      <c r="C9" s="23"/>
      <c r="D9" s="23"/>
      <c r="E9" s="23"/>
      <c r="F9" s="23"/>
      <c r="G9" s="23"/>
      <c r="H9" s="23"/>
      <c r="I9" s="23"/>
      <c r="J9" s="23"/>
      <c r="K9" s="23"/>
      <c r="L9" s="23"/>
      <c r="M9" s="23"/>
      <c r="N9" s="23"/>
      <c r="O9" s="23"/>
    </row>
    <row r="10" spans="1:15" x14ac:dyDescent="0.25">
      <c r="A10" s="3" t="s">
        <v>45</v>
      </c>
      <c r="B10" s="23"/>
      <c r="C10" s="23"/>
      <c r="D10" s="23"/>
      <c r="E10" s="23"/>
      <c r="F10" s="23"/>
      <c r="G10" s="23"/>
      <c r="H10" s="23"/>
      <c r="I10" s="23"/>
      <c r="J10" s="23"/>
      <c r="K10" s="23"/>
      <c r="L10" s="23"/>
      <c r="M10" s="23"/>
      <c r="N10" s="23"/>
      <c r="O10" s="23"/>
    </row>
    <row r="11" spans="1:15" x14ac:dyDescent="0.25">
      <c r="A11" s="20" t="s">
        <v>32</v>
      </c>
      <c r="B11" s="23" t="s">
        <v>66</v>
      </c>
      <c r="C11" s="23" t="s">
        <v>66</v>
      </c>
      <c r="D11" s="23" t="s">
        <v>66</v>
      </c>
      <c r="E11" s="23" t="s">
        <v>66</v>
      </c>
      <c r="F11" s="23" t="s">
        <v>66</v>
      </c>
      <c r="G11" s="23" t="s">
        <v>66</v>
      </c>
      <c r="H11" s="23" t="s">
        <v>66</v>
      </c>
      <c r="I11" s="23" t="s">
        <v>66</v>
      </c>
      <c r="J11" s="23" t="s">
        <v>67</v>
      </c>
      <c r="K11" s="23"/>
      <c r="L11" s="23"/>
      <c r="M11" s="23"/>
      <c r="N11" s="23"/>
      <c r="O11" s="23"/>
    </row>
    <row r="12" spans="1:15" x14ac:dyDescent="0.25">
      <c r="A12" s="20" t="s">
        <v>33</v>
      </c>
      <c r="B12" s="23"/>
      <c r="C12" s="23"/>
      <c r="D12" s="23"/>
      <c r="E12" s="23"/>
      <c r="F12" s="23"/>
      <c r="G12" s="23"/>
      <c r="H12" s="23"/>
      <c r="I12" s="23"/>
      <c r="J12" s="23"/>
      <c r="K12" s="23"/>
      <c r="L12" s="23"/>
      <c r="M12" s="23"/>
      <c r="N12" s="23"/>
      <c r="O12" s="23"/>
    </row>
    <row r="13" spans="1:15" x14ac:dyDescent="0.25">
      <c r="A13" s="20" t="s">
        <v>34</v>
      </c>
      <c r="B13" s="23"/>
      <c r="C13" s="23"/>
      <c r="D13" s="23"/>
      <c r="E13" s="23"/>
      <c r="F13" s="23"/>
      <c r="G13" s="23"/>
      <c r="H13" s="23"/>
      <c r="I13" s="23"/>
      <c r="J13" s="23"/>
      <c r="K13" s="23"/>
      <c r="L13" s="23"/>
      <c r="M13" s="23"/>
      <c r="N13" s="23"/>
      <c r="O13" s="23"/>
    </row>
    <row r="14" spans="1:15" x14ac:dyDescent="0.25">
      <c r="A14" s="20" t="s">
        <v>35</v>
      </c>
      <c r="B14" s="23"/>
      <c r="C14" s="23"/>
      <c r="D14" s="23"/>
      <c r="E14" s="23"/>
      <c r="F14" s="23"/>
      <c r="G14" s="23"/>
      <c r="H14" s="23"/>
      <c r="I14" s="23"/>
      <c r="J14" s="23"/>
      <c r="K14" s="23"/>
      <c r="L14" s="23"/>
      <c r="M14" s="23"/>
      <c r="N14" s="23"/>
      <c r="O14" s="23"/>
    </row>
    <row r="15" spans="1:15" x14ac:dyDescent="0.25">
      <c r="A15" s="20" t="s">
        <v>36</v>
      </c>
      <c r="B15" s="23"/>
      <c r="C15" s="23"/>
      <c r="D15" s="23"/>
      <c r="E15" s="23"/>
      <c r="F15" s="23"/>
      <c r="G15" s="23"/>
      <c r="H15" s="23"/>
      <c r="I15" s="23"/>
      <c r="J15" s="23"/>
      <c r="K15" s="23"/>
      <c r="L15" s="23"/>
      <c r="M15" s="23"/>
      <c r="N15" s="23"/>
      <c r="O15" s="23"/>
    </row>
    <row r="16" spans="1:15" x14ac:dyDescent="0.25">
      <c r="A16" s="19" t="s">
        <v>46</v>
      </c>
      <c r="B16" s="23"/>
      <c r="C16" s="23"/>
      <c r="D16" s="23"/>
      <c r="E16" s="23"/>
      <c r="F16" s="23"/>
      <c r="G16" s="23"/>
      <c r="H16" s="23"/>
      <c r="I16" s="23"/>
      <c r="J16" s="23"/>
      <c r="K16" s="23"/>
      <c r="L16" s="23"/>
      <c r="M16" s="23"/>
      <c r="N16" s="23"/>
      <c r="O16" s="23"/>
    </row>
    <row r="17" spans="1:15" x14ac:dyDescent="0.25">
      <c r="A17" s="19" t="s">
        <v>47</v>
      </c>
      <c r="B17" s="23"/>
      <c r="C17" s="23"/>
      <c r="D17" s="23"/>
      <c r="E17" s="23"/>
      <c r="F17" s="23"/>
      <c r="G17" s="23"/>
      <c r="H17" s="23"/>
      <c r="I17" s="23"/>
      <c r="J17" s="23"/>
      <c r="K17" s="23"/>
      <c r="L17" s="23"/>
      <c r="M17" s="23"/>
      <c r="N17" s="23"/>
      <c r="O17" s="23"/>
    </row>
    <row r="18" spans="1:15" x14ac:dyDescent="0.25">
      <c r="A18" s="19" t="s">
        <v>48</v>
      </c>
      <c r="B18" s="23"/>
      <c r="C18" s="23"/>
      <c r="D18" s="23"/>
      <c r="E18" s="23"/>
      <c r="F18" s="23"/>
      <c r="G18" s="23"/>
      <c r="H18" s="23"/>
      <c r="I18" s="23"/>
      <c r="J18" s="23"/>
      <c r="K18" s="23"/>
      <c r="L18" s="23"/>
      <c r="M18" s="23"/>
      <c r="N18" s="23"/>
      <c r="O18" s="23"/>
    </row>
    <row r="19" spans="1:15" x14ac:dyDescent="0.25">
      <c r="A19" s="19" t="s">
        <v>49</v>
      </c>
      <c r="B19" s="23"/>
      <c r="C19" s="23"/>
      <c r="D19" s="23"/>
      <c r="E19" s="23"/>
      <c r="F19" s="23"/>
      <c r="G19" s="23"/>
      <c r="H19" s="23"/>
      <c r="I19" s="23"/>
      <c r="J19" s="23"/>
      <c r="K19" s="23"/>
      <c r="L19" s="23"/>
      <c r="M19" s="23"/>
      <c r="N19" s="23"/>
      <c r="O19" s="23"/>
    </row>
    <row r="20" spans="1:15" x14ac:dyDescent="0.25">
      <c r="A20" s="19" t="s">
        <v>50</v>
      </c>
      <c r="B20" s="23"/>
      <c r="C20" s="23"/>
      <c r="D20" s="23"/>
      <c r="E20" s="23"/>
      <c r="F20" s="23"/>
      <c r="G20" s="23"/>
      <c r="H20" s="23"/>
      <c r="I20" s="23"/>
      <c r="J20" s="23"/>
      <c r="K20" s="23"/>
      <c r="L20" s="23"/>
      <c r="M20" s="23"/>
      <c r="N20" s="23"/>
      <c r="O20" s="23"/>
    </row>
    <row r="21" spans="1:15" x14ac:dyDescent="0.25">
      <c r="A21" s="19" t="s">
        <v>51</v>
      </c>
      <c r="B21" s="23"/>
      <c r="C21" s="23"/>
      <c r="D21" s="23"/>
      <c r="E21" s="23"/>
      <c r="F21" s="23"/>
      <c r="G21" s="23"/>
      <c r="H21" s="23"/>
      <c r="I21" s="23"/>
      <c r="J21" s="23"/>
      <c r="K21" s="23"/>
      <c r="L21" s="23"/>
      <c r="M21" s="23"/>
      <c r="N21" s="23"/>
      <c r="O21" s="23"/>
    </row>
    <row r="22" spans="1:15" x14ac:dyDescent="0.25">
      <c r="A22" s="19" t="s">
        <v>52</v>
      </c>
      <c r="B22" s="23"/>
      <c r="C22" s="23"/>
      <c r="D22" s="23"/>
      <c r="E22" s="23"/>
      <c r="F22" s="23"/>
      <c r="G22" s="23"/>
      <c r="H22" s="23"/>
      <c r="I22" s="23"/>
      <c r="J22" s="23"/>
      <c r="K22" s="23"/>
      <c r="L22" s="23"/>
      <c r="M22" s="23"/>
      <c r="N22" s="23"/>
      <c r="O22" s="23"/>
    </row>
    <row r="23" spans="1:15" x14ac:dyDescent="0.25">
      <c r="A23" s="19" t="s">
        <v>53</v>
      </c>
      <c r="B23" s="23"/>
      <c r="C23" s="23"/>
      <c r="D23" s="23"/>
      <c r="E23" s="23"/>
      <c r="F23" s="23"/>
      <c r="G23" s="23"/>
      <c r="H23" s="23"/>
      <c r="I23" s="23"/>
      <c r="J23" s="23"/>
      <c r="K23" s="23"/>
      <c r="L23" s="23"/>
      <c r="M23" s="23"/>
      <c r="N23" s="23"/>
      <c r="O23" s="23"/>
    </row>
    <row r="24" spans="1:15" x14ac:dyDescent="0.25">
      <c r="A24" s="19" t="s">
        <v>54</v>
      </c>
      <c r="B24" s="23"/>
      <c r="C24" s="23"/>
      <c r="D24" s="23"/>
      <c r="E24" s="23"/>
      <c r="F24" s="23"/>
      <c r="G24" s="23"/>
      <c r="H24" s="23"/>
      <c r="I24" s="23"/>
      <c r="J24" s="23"/>
      <c r="K24" s="23"/>
      <c r="L24" s="23"/>
      <c r="M24" s="23"/>
      <c r="N24" s="23"/>
      <c r="O24" s="23"/>
    </row>
    <row r="25" spans="1:15" x14ac:dyDescent="0.25">
      <c r="A25" s="21" t="s">
        <v>37</v>
      </c>
      <c r="B25" s="23"/>
      <c r="C25" s="23"/>
      <c r="D25" s="23"/>
      <c r="E25" s="23"/>
      <c r="F25" s="23"/>
      <c r="G25" s="23"/>
      <c r="H25" s="23"/>
      <c r="I25" s="23"/>
      <c r="J25" s="23"/>
      <c r="K25" s="23"/>
      <c r="L25" s="23"/>
      <c r="M25" s="23"/>
      <c r="N25" s="23"/>
      <c r="O25" s="23"/>
    </row>
    <row r="26" spans="1:15" x14ac:dyDescent="0.25">
      <c r="A26" s="21" t="s">
        <v>38</v>
      </c>
      <c r="B26" s="23"/>
      <c r="C26" s="23"/>
      <c r="D26" s="23"/>
      <c r="E26" s="23"/>
      <c r="F26" s="23"/>
      <c r="G26" s="23"/>
      <c r="H26" s="23"/>
      <c r="I26" s="23"/>
      <c r="J26" s="23"/>
      <c r="K26" s="23"/>
      <c r="L26" s="23"/>
      <c r="M26" s="23"/>
      <c r="N26" s="23"/>
      <c r="O26" s="23"/>
    </row>
    <row r="27" spans="1:15" x14ac:dyDescent="0.25">
      <c r="A27" s="21" t="s">
        <v>39</v>
      </c>
      <c r="B27" s="23"/>
      <c r="C27" s="23"/>
      <c r="D27" s="23"/>
      <c r="E27" s="23"/>
      <c r="F27" s="23"/>
      <c r="G27" s="23"/>
      <c r="H27" s="23"/>
      <c r="I27" s="23"/>
      <c r="J27" s="23"/>
      <c r="K27" s="23"/>
      <c r="L27" s="23"/>
      <c r="M27" s="23"/>
      <c r="N27" s="23"/>
      <c r="O27" s="23"/>
    </row>
    <row r="28" spans="1:15" x14ac:dyDescent="0.25">
      <c r="A28" s="22" t="s">
        <v>55</v>
      </c>
      <c r="B28" s="23"/>
      <c r="C28" s="23"/>
      <c r="D28" s="23"/>
      <c r="E28" s="23"/>
      <c r="F28" s="23"/>
      <c r="G28" s="23"/>
      <c r="H28" s="23"/>
      <c r="I28" s="23"/>
      <c r="J28" s="23"/>
      <c r="K28" s="23"/>
      <c r="L28" s="23"/>
      <c r="M28" s="23"/>
      <c r="N28" s="23"/>
      <c r="O28" s="23"/>
    </row>
    <row r="29" spans="1:15" x14ac:dyDescent="0.25">
      <c r="A29" s="22" t="s">
        <v>56</v>
      </c>
      <c r="B29" s="23"/>
      <c r="C29" s="23"/>
      <c r="D29" s="23"/>
      <c r="E29" s="23"/>
      <c r="F29" s="23"/>
      <c r="G29" s="23"/>
      <c r="H29" s="23"/>
      <c r="I29" s="23"/>
      <c r="J29" s="23"/>
      <c r="K29" s="23"/>
      <c r="L29" s="23"/>
      <c r="M29" s="23"/>
      <c r="N29" s="23"/>
      <c r="O29" s="23"/>
    </row>
    <row r="30" spans="1:15" x14ac:dyDescent="0.25">
      <c r="A30" s="22" t="s">
        <v>52</v>
      </c>
      <c r="B30" s="23"/>
      <c r="C30" s="23"/>
      <c r="D30" s="23"/>
      <c r="E30" s="23"/>
      <c r="F30" s="23"/>
      <c r="G30" s="23"/>
      <c r="H30" s="23"/>
      <c r="I30" s="23"/>
      <c r="J30" s="23"/>
      <c r="K30" s="23"/>
      <c r="L30" s="23"/>
      <c r="M30" s="23"/>
      <c r="N30" s="23"/>
      <c r="O30" s="23"/>
    </row>
    <row r="31" spans="1:15" x14ac:dyDescent="0.25">
      <c r="A31" s="22" t="s">
        <v>57</v>
      </c>
      <c r="B31" s="23"/>
      <c r="C31" s="23"/>
      <c r="D31" s="23"/>
      <c r="E31" s="23"/>
      <c r="F31" s="23"/>
      <c r="G31" s="23"/>
      <c r="H31" s="23"/>
      <c r="I31" s="23"/>
      <c r="J31" s="23"/>
      <c r="K31" s="23"/>
      <c r="L31" s="23"/>
      <c r="M31" s="23"/>
      <c r="N31" s="23"/>
      <c r="O31" s="23"/>
    </row>
    <row r="32" spans="1:15" x14ac:dyDescent="0.25">
      <c r="A32" s="22" t="s">
        <v>58</v>
      </c>
      <c r="B32" s="23"/>
      <c r="C32" s="23"/>
      <c r="D32" s="23"/>
      <c r="E32" s="23"/>
      <c r="F32" s="23"/>
      <c r="G32" s="23"/>
      <c r="H32" s="23"/>
      <c r="I32" s="23"/>
      <c r="J32" s="23"/>
      <c r="K32" s="23"/>
      <c r="L32" s="23"/>
      <c r="M32" s="23"/>
      <c r="N32" s="23"/>
      <c r="O32" s="23"/>
    </row>
  </sheetData>
  <sheetProtection password="E5F4" sheet="1" objects="1" scenario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'Tablas AR'!$A$18:$A$19</xm:f>
          </x14:formula1>
          <xm:sqref>B2:AO32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theme="6" tint="-0.499984740745262"/>
  </sheetPr>
  <dimension ref="B1:I933"/>
  <sheetViews>
    <sheetView tabSelected="1" workbookViewId="0">
      <selection activeCell="I4" sqref="I4"/>
    </sheetView>
  </sheetViews>
  <sheetFormatPr baseColWidth="10" defaultRowHeight="15" x14ac:dyDescent="0.25"/>
  <cols>
    <col min="1" max="1" width="21.42578125" customWidth="1"/>
    <col min="2" max="2" width="38.7109375" customWidth="1"/>
    <col min="3" max="3" width="38.85546875" hidden="1" customWidth="1"/>
    <col min="4" max="4" width="35.7109375" customWidth="1"/>
    <col min="5" max="5" width="18.140625" customWidth="1"/>
    <col min="6" max="6" width="18.140625" hidden="1" customWidth="1"/>
    <col min="7" max="7" width="17" customWidth="1"/>
    <col min="8" max="8" width="17.7109375" hidden="1" customWidth="1"/>
    <col min="9" max="9" width="16.28515625" customWidth="1"/>
  </cols>
  <sheetData>
    <row r="1" spans="2:9" ht="18" x14ac:dyDescent="0.25">
      <c r="B1" s="81" t="s">
        <v>0</v>
      </c>
      <c r="C1" s="82"/>
      <c r="D1" s="82"/>
      <c r="E1" s="82"/>
      <c r="F1" s="82"/>
      <c r="G1" s="82"/>
      <c r="H1" s="82"/>
      <c r="I1" s="82"/>
    </row>
    <row r="2" spans="2:9" ht="15.75" x14ac:dyDescent="0.25">
      <c r="B2" s="7" t="s">
        <v>62</v>
      </c>
      <c r="C2" s="7"/>
      <c r="D2" s="7" t="s">
        <v>84</v>
      </c>
      <c r="E2" s="7" t="s">
        <v>85</v>
      </c>
      <c r="F2" s="7"/>
      <c r="G2" s="7" t="s">
        <v>86</v>
      </c>
      <c r="H2" s="7"/>
      <c r="I2" s="7" t="s">
        <v>87</v>
      </c>
    </row>
    <row r="3" spans="2:9" x14ac:dyDescent="0.25">
      <c r="B3" s="24" t="str">
        <f>IFERROR(INDEX(Activos!$B$3:$C$11, MATCH(C3,Activos!$B$3:$B$11),2),"")</f>
        <v>Router</v>
      </c>
      <c r="C3" s="24" t="s">
        <v>69</v>
      </c>
      <c r="D3" s="24" t="s">
        <v>32</v>
      </c>
      <c r="E3" s="23" t="s">
        <v>26</v>
      </c>
      <c r="F3">
        <f>IF(E3='Tablas AR'!$B$4,1,IF('Análisis de Riesgos'!E3='Tablas AR'!$B$5,2,IF('Análisis de Riesgos'!E3='Tablas AR'!$B$6,3,"")))</f>
        <v>2</v>
      </c>
      <c r="G3" s="23" t="s">
        <v>26</v>
      </c>
      <c r="H3">
        <f>IF(G3='Tablas AR'!$B$10,1,IF('Análisis de Riesgos'!G3='Tablas AR'!$B$11,2,IF('Análisis de Riesgos'!G3='Tablas AR'!$B$12,3,"")))</f>
        <v>2</v>
      </c>
      <c r="I3">
        <f xml:space="preserve"> IFERROR(F3*H3,"")</f>
        <v>4</v>
      </c>
    </row>
    <row r="4" spans="2:9" x14ac:dyDescent="0.25">
      <c r="B4" s="24" t="str">
        <f>IFERROR(INDEX(Activos!$B$3:$C$11, MATCH(C4,Activos!$B$3:$B$11),2),"")</f>
        <v>Switch</v>
      </c>
      <c r="C4" s="24" t="s">
        <v>72</v>
      </c>
      <c r="D4" s="24" t="s">
        <v>32</v>
      </c>
      <c r="E4" s="23" t="s">
        <v>26</v>
      </c>
      <c r="F4">
        <f>IF(E4='Tablas AR'!$B$4,1,IF('Análisis de Riesgos'!E4='Tablas AR'!$B$5,2,IF('Análisis de Riesgos'!E4='Tablas AR'!$B$6,3,"")))</f>
        <v>2</v>
      </c>
      <c r="G4" s="23" t="s">
        <v>26</v>
      </c>
      <c r="H4">
        <f>IF(G4='Tablas AR'!$B$10,1,IF('Análisis de Riesgos'!G4='Tablas AR'!$B$11,2,IF('Análisis de Riesgos'!G4='Tablas AR'!$B$12,3,"")))</f>
        <v>2</v>
      </c>
      <c r="I4">
        <f t="shared" ref="I4:I67" si="0" xml:space="preserve"> IFERROR(F4*H4,"")</f>
        <v>4</v>
      </c>
    </row>
    <row r="5" spans="2:9" x14ac:dyDescent="0.25">
      <c r="B5" s="24" t="str">
        <f>IFERROR(INDEX(Activos!$B$3:$C$11, MATCH(C5,Activos!$B$3:$B$11),2),"")</f>
        <v>Servidor Cobra</v>
      </c>
      <c r="C5" s="24" t="s">
        <v>73</v>
      </c>
      <c r="D5" s="24" t="s">
        <v>40</v>
      </c>
      <c r="E5" s="23" t="s">
        <v>25</v>
      </c>
      <c r="F5">
        <f>IF(E5='Tablas AR'!$B$4,1,IF('Análisis de Riesgos'!E5='Tablas AR'!$B$5,2,IF('Análisis de Riesgos'!E5='Tablas AR'!$B$6,3,"")))</f>
        <v>1</v>
      </c>
      <c r="G5" s="23" t="s">
        <v>27</v>
      </c>
      <c r="H5">
        <f>IF(G5='Tablas AR'!$B$10,1,IF('Análisis de Riesgos'!G5='Tablas AR'!$B$11,2,IF('Análisis de Riesgos'!G5='Tablas AR'!$B$12,3,"")))</f>
        <v>3</v>
      </c>
      <c r="I5">
        <f t="shared" si="0"/>
        <v>3</v>
      </c>
    </row>
    <row r="6" spans="2:9" x14ac:dyDescent="0.25">
      <c r="B6" s="24" t="str">
        <f>IFERROR(INDEX(Activos!$B$3:$C$11, MATCH(C6,Activos!$B$3:$B$11),2),"")</f>
        <v>Servidor Cobra</v>
      </c>
      <c r="C6" s="24" t="s">
        <v>73</v>
      </c>
      <c r="D6" s="24" t="s">
        <v>32</v>
      </c>
      <c r="E6" s="23" t="s">
        <v>26</v>
      </c>
      <c r="F6">
        <f>IF(E6='Tablas AR'!$B$4,1,IF('Análisis de Riesgos'!E6='Tablas AR'!$B$5,2,IF('Análisis de Riesgos'!E6='Tablas AR'!$B$6,3,"")))</f>
        <v>2</v>
      </c>
      <c r="G6" s="23" t="s">
        <v>27</v>
      </c>
      <c r="H6">
        <f>IF(G6='Tablas AR'!$B$10,1,IF('Análisis de Riesgos'!G6='Tablas AR'!$B$11,2,IF('Análisis de Riesgos'!G6='Tablas AR'!$B$12,3,"")))</f>
        <v>3</v>
      </c>
      <c r="I6">
        <f t="shared" si="0"/>
        <v>6</v>
      </c>
    </row>
    <row r="7" spans="2:9" x14ac:dyDescent="0.25">
      <c r="B7" s="24" t="str">
        <f>IFERROR(INDEX(Activos!$B$3:$C$11, MATCH(C7,Activos!$B$3:$B$11),2),"")</f>
        <v>Ordenador Supervisor</v>
      </c>
      <c r="C7" s="24" t="s">
        <v>70</v>
      </c>
      <c r="D7" s="24" t="s">
        <v>40</v>
      </c>
      <c r="E7" s="23" t="s">
        <v>25</v>
      </c>
      <c r="F7">
        <f>IF(E7='Tablas AR'!$B$4,1,IF('Análisis de Riesgos'!E7='Tablas AR'!$B$5,2,IF('Análisis de Riesgos'!E7='Tablas AR'!$B$6,3,"")))</f>
        <v>1</v>
      </c>
      <c r="G7" s="23" t="s">
        <v>27</v>
      </c>
      <c r="H7">
        <f>IF(G7='Tablas AR'!$B$10,1,IF('Análisis de Riesgos'!G7='Tablas AR'!$B$11,2,IF('Análisis de Riesgos'!G7='Tablas AR'!$B$12,3,"")))</f>
        <v>3</v>
      </c>
      <c r="I7">
        <f t="shared" si="0"/>
        <v>3</v>
      </c>
    </row>
    <row r="8" spans="2:9" x14ac:dyDescent="0.25">
      <c r="B8" s="24" t="str">
        <f>IFERROR(INDEX(Activos!$B$3:$C$11, MATCH(C8,Activos!$B$3:$B$11),2),"")</f>
        <v>Ordenador Supervisor</v>
      </c>
      <c r="C8" s="24" t="s">
        <v>70</v>
      </c>
      <c r="D8" s="24" t="s">
        <v>32</v>
      </c>
      <c r="E8" s="23" t="s">
        <v>26</v>
      </c>
      <c r="F8">
        <f>IF(E8='Tablas AR'!$B$4,1,IF('Análisis de Riesgos'!E8='Tablas AR'!$B$5,2,IF('Análisis de Riesgos'!E8='Tablas AR'!$B$6,3,"")))</f>
        <v>2</v>
      </c>
      <c r="G8" s="23" t="s">
        <v>27</v>
      </c>
      <c r="H8">
        <f>IF(G8='Tablas AR'!$B$10,1,IF('Análisis de Riesgos'!G8='Tablas AR'!$B$11,2,IF('Análisis de Riesgos'!G8='Tablas AR'!$B$12,3,"")))</f>
        <v>3</v>
      </c>
      <c r="I8">
        <f t="shared" si="0"/>
        <v>6</v>
      </c>
    </row>
    <row r="9" spans="2:9" x14ac:dyDescent="0.25">
      <c r="B9" s="24" t="str">
        <f>IFERROR(INDEX(Activos!$B$3:$C$11, MATCH(C9,Activos!$B$3:$B$11),2),"")</f>
        <v>Ordenador Caja 1</v>
      </c>
      <c r="C9" s="24" t="s">
        <v>74</v>
      </c>
      <c r="D9" s="24" t="s">
        <v>40</v>
      </c>
      <c r="E9" s="23" t="s">
        <v>25</v>
      </c>
      <c r="F9">
        <f>IF(E9='Tablas AR'!$B$4,1,IF('Análisis de Riesgos'!E9='Tablas AR'!$B$5,2,IF('Análisis de Riesgos'!E9='Tablas AR'!$B$6,3,"")))</f>
        <v>1</v>
      </c>
      <c r="G9" s="23" t="s">
        <v>27</v>
      </c>
      <c r="H9">
        <f>IF(G9='Tablas AR'!$B$10,1,IF('Análisis de Riesgos'!G9='Tablas AR'!$B$11,2,IF('Análisis de Riesgos'!G9='Tablas AR'!$B$12,3,"")))</f>
        <v>3</v>
      </c>
      <c r="I9">
        <f t="shared" si="0"/>
        <v>3</v>
      </c>
    </row>
    <row r="10" spans="2:9" x14ac:dyDescent="0.25">
      <c r="B10" s="24" t="str">
        <f>IFERROR(INDEX(Activos!$B$3:$C$11, MATCH(C10,Activos!$B$3:$B$11),2),"")</f>
        <v>Ordenador Caja 1</v>
      </c>
      <c r="C10" s="24" t="s">
        <v>74</v>
      </c>
      <c r="D10" s="24" t="s">
        <v>32</v>
      </c>
      <c r="E10" s="23" t="s">
        <v>26</v>
      </c>
      <c r="F10">
        <f>IF(E10='Tablas AR'!$B$4,1,IF('Análisis de Riesgos'!E10='Tablas AR'!$B$5,2,IF('Análisis de Riesgos'!E10='Tablas AR'!$B$6,3,"")))</f>
        <v>2</v>
      </c>
      <c r="G10" s="23" t="s">
        <v>27</v>
      </c>
      <c r="H10">
        <f>IF(G10='Tablas AR'!$B$10,1,IF('Análisis de Riesgos'!G10='Tablas AR'!$B$11,2,IF('Análisis de Riesgos'!G10='Tablas AR'!$B$12,3,"")))</f>
        <v>3</v>
      </c>
      <c r="I10">
        <f t="shared" si="0"/>
        <v>6</v>
      </c>
    </row>
    <row r="11" spans="2:9" x14ac:dyDescent="0.25">
      <c r="B11" s="24" t="str">
        <f>IFERROR(INDEX(Activos!$B$3:$C$11, MATCH(C11,Activos!$B$3:$B$11),2),"")</f>
        <v>Ordenador Caja 2</v>
      </c>
      <c r="C11" s="24" t="s">
        <v>75</v>
      </c>
      <c r="D11" s="24" t="s">
        <v>40</v>
      </c>
      <c r="E11" s="23" t="s">
        <v>25</v>
      </c>
      <c r="F11">
        <f>IF(E11='Tablas AR'!$B$4,1,IF('Análisis de Riesgos'!E11='Tablas AR'!$B$5,2,IF('Análisis de Riesgos'!E11='Tablas AR'!$B$6,3,"")))</f>
        <v>1</v>
      </c>
      <c r="G11" s="23" t="s">
        <v>27</v>
      </c>
      <c r="H11">
        <f>IF(G11='Tablas AR'!$B$10,1,IF('Análisis de Riesgos'!G11='Tablas AR'!$B$11,2,IF('Análisis de Riesgos'!G11='Tablas AR'!$B$12,3,"")))</f>
        <v>3</v>
      </c>
      <c r="I11">
        <f t="shared" si="0"/>
        <v>3</v>
      </c>
    </row>
    <row r="12" spans="2:9" x14ac:dyDescent="0.25">
      <c r="B12" s="24" t="str">
        <f>IFERROR(INDEX(Activos!$B$3:$C$11, MATCH(C12,Activos!$B$3:$B$11),2),"")</f>
        <v>Ordenador Caja 2</v>
      </c>
      <c r="C12" s="24" t="s">
        <v>75</v>
      </c>
      <c r="D12" s="24" t="s">
        <v>32</v>
      </c>
      <c r="E12" s="23" t="s">
        <v>26</v>
      </c>
      <c r="F12">
        <f>IF(E12='Tablas AR'!$B$4,1,IF('Análisis de Riesgos'!E12='Tablas AR'!$B$5,2,IF('Análisis de Riesgos'!E12='Tablas AR'!$B$6,3,"")))</f>
        <v>2</v>
      </c>
      <c r="G12" s="23" t="s">
        <v>27</v>
      </c>
      <c r="H12">
        <f>IF(G12='Tablas AR'!$B$10,1,IF('Análisis de Riesgos'!G12='Tablas AR'!$B$11,2,IF('Análisis de Riesgos'!G12='Tablas AR'!$B$12,3,"")))</f>
        <v>3</v>
      </c>
      <c r="I12">
        <f t="shared" si="0"/>
        <v>6</v>
      </c>
    </row>
    <row r="13" spans="2:9" x14ac:dyDescent="0.25">
      <c r="B13" s="24" t="str">
        <f>IFERROR(INDEX(Activos!$B$3:$C$11, MATCH(C13,Activos!$B$3:$B$11),2),"")</f>
        <v>Ordenador Caja 3</v>
      </c>
      <c r="C13" s="24" t="s">
        <v>76</v>
      </c>
      <c r="D13" s="24" t="s">
        <v>40</v>
      </c>
      <c r="E13" s="23" t="s">
        <v>25</v>
      </c>
      <c r="F13">
        <f>IF(E13='Tablas AR'!$B$4,1,IF('Análisis de Riesgos'!E13='Tablas AR'!$B$5,2,IF('Análisis de Riesgos'!E13='Tablas AR'!$B$6,3,"")))</f>
        <v>1</v>
      </c>
      <c r="G13" s="23" t="s">
        <v>27</v>
      </c>
      <c r="H13">
        <f>IF(G13='Tablas AR'!$B$10,1,IF('Análisis de Riesgos'!G13='Tablas AR'!$B$11,2,IF('Análisis de Riesgos'!G13='Tablas AR'!$B$12,3,"")))</f>
        <v>3</v>
      </c>
      <c r="I13">
        <f t="shared" si="0"/>
        <v>3</v>
      </c>
    </row>
    <row r="14" spans="2:9" x14ac:dyDescent="0.25">
      <c r="B14" s="24" t="str">
        <f>IFERROR(INDEX(Activos!$B$3:$C$11, MATCH(C14,Activos!$B$3:$B$11),2),"")</f>
        <v>Ordenador Caja 3</v>
      </c>
      <c r="C14" s="24" t="s">
        <v>76</v>
      </c>
      <c r="D14" s="24" t="s">
        <v>32</v>
      </c>
      <c r="E14" s="23" t="s">
        <v>26</v>
      </c>
      <c r="F14">
        <f>IF(E14='Tablas AR'!$B$4,1,IF('Análisis de Riesgos'!E14='Tablas AR'!$B$5,2,IF('Análisis de Riesgos'!E14='Tablas AR'!$B$6,3,"")))</f>
        <v>2</v>
      </c>
      <c r="G14" s="23" t="s">
        <v>27</v>
      </c>
      <c r="H14">
        <f>IF(G14='Tablas AR'!$B$10,1,IF('Análisis de Riesgos'!G14='Tablas AR'!$B$11,2,IF('Análisis de Riesgos'!G14='Tablas AR'!$B$12,3,"")))</f>
        <v>3</v>
      </c>
      <c r="I14">
        <f t="shared" si="0"/>
        <v>6</v>
      </c>
    </row>
    <row r="15" spans="2:9" x14ac:dyDescent="0.25">
      <c r="B15" s="24" t="str">
        <f>IFERROR(INDEX(Activos!$B$3:$C$11, MATCH(C15,Activos!$B$3:$B$11),2),"")</f>
        <v>WiFi</v>
      </c>
      <c r="C15" s="24" t="s">
        <v>71</v>
      </c>
      <c r="D15" s="24" t="s">
        <v>32</v>
      </c>
      <c r="E15" s="23" t="s">
        <v>26</v>
      </c>
      <c r="F15">
        <f>IF(E15='Tablas AR'!$B$4,1,IF('Análisis de Riesgos'!E15='Tablas AR'!$B$5,2,IF('Análisis de Riesgos'!E15='Tablas AR'!$B$6,3,"")))</f>
        <v>2</v>
      </c>
      <c r="G15" s="23" t="s">
        <v>26</v>
      </c>
      <c r="H15">
        <f>IF(G15='Tablas AR'!$B$10,1,IF('Análisis de Riesgos'!G15='Tablas AR'!$B$11,2,IF('Análisis de Riesgos'!G15='Tablas AR'!$B$12,3,"")))</f>
        <v>2</v>
      </c>
      <c r="I15">
        <f t="shared" si="0"/>
        <v>4</v>
      </c>
    </row>
    <row r="16" spans="2:9" x14ac:dyDescent="0.25">
      <c r="B16" s="24" t="str">
        <f>IFERROR(INDEX(Activos!$B$3:$C$11, MATCH(C16,Activos!$B$3:$B$11),2),"")</f>
        <v>Smarphone Cliente</v>
      </c>
      <c r="C16" s="24" t="s">
        <v>77</v>
      </c>
      <c r="D16" s="24" t="s">
        <v>40</v>
      </c>
      <c r="E16" s="23" t="s">
        <v>25</v>
      </c>
      <c r="F16">
        <f>IF(E16='Tablas AR'!$B$4,1,IF('Análisis de Riesgos'!E16='Tablas AR'!$B$5,2,IF('Análisis de Riesgos'!E16='Tablas AR'!$B$6,3,"")))</f>
        <v>1</v>
      </c>
      <c r="G16" s="23" t="s">
        <v>27</v>
      </c>
      <c r="H16">
        <f>IF(G16='Tablas AR'!$B$10,1,IF('Análisis de Riesgos'!G16='Tablas AR'!$B$11,2,IF('Análisis de Riesgos'!G16='Tablas AR'!$B$12,3,"")))</f>
        <v>3</v>
      </c>
      <c r="I16">
        <f t="shared" si="0"/>
        <v>3</v>
      </c>
    </row>
    <row r="17" spans="2:9" x14ac:dyDescent="0.25">
      <c r="B17" s="24" t="str">
        <f>IFERROR(INDEX(Activos!$B$3:$C$11, MATCH(C17,Activos!$B$3:$B$11),2),"")</f>
        <v/>
      </c>
      <c r="C17" s="24"/>
      <c r="D17" s="24"/>
      <c r="E17" s="23"/>
      <c r="F17" t="str">
        <f>IF(E17='Tablas AR'!$B$4,1,IF('Análisis de Riesgos'!E17='Tablas AR'!$B$5,2,IF('Análisis de Riesgos'!E17='Tablas AR'!$B$6,3,"")))</f>
        <v/>
      </c>
      <c r="G17" s="23"/>
      <c r="H17" t="str">
        <f>IF(G17='Tablas AR'!$B$10,1,IF('Análisis de Riesgos'!G17='Tablas AR'!$B$11,2,IF('Análisis de Riesgos'!G17='Tablas AR'!$B$12,3,"")))</f>
        <v/>
      </c>
      <c r="I17" t="str">
        <f t="shared" si="0"/>
        <v/>
      </c>
    </row>
    <row r="18" spans="2:9" x14ac:dyDescent="0.25">
      <c r="B18" s="24" t="str">
        <f>IFERROR(INDEX(Activos!$B$3:$C$11, MATCH(C18,Activos!$B$3:$B$11),2),"")</f>
        <v/>
      </c>
      <c r="C18" s="24"/>
      <c r="D18" s="24"/>
      <c r="E18" s="23"/>
      <c r="F18" t="str">
        <f>IF(E18='Tablas AR'!$B$4,1,IF('Análisis de Riesgos'!E18='Tablas AR'!$B$5,2,IF('Análisis de Riesgos'!E18='Tablas AR'!$B$6,3,"")))</f>
        <v/>
      </c>
      <c r="G18" s="23"/>
      <c r="H18" t="str">
        <f>IF(G18='Tablas AR'!$B$10,1,IF('Análisis de Riesgos'!G18='Tablas AR'!$B$11,2,IF('Análisis de Riesgos'!G18='Tablas AR'!$B$12,3,"")))</f>
        <v/>
      </c>
      <c r="I18" t="str">
        <f t="shared" si="0"/>
        <v/>
      </c>
    </row>
    <row r="19" spans="2:9" x14ac:dyDescent="0.25">
      <c r="B19" s="24" t="str">
        <f>IFERROR(INDEX(Activos!$B$3:$C$11, MATCH(C19,Activos!$B$3:$B$11),2),"")</f>
        <v/>
      </c>
      <c r="C19" s="24"/>
      <c r="D19" s="24"/>
      <c r="E19" s="23"/>
      <c r="F19" t="str">
        <f>IF(E19='Tablas AR'!$B$4,1,IF('Análisis de Riesgos'!E19='Tablas AR'!$B$5,2,IF('Análisis de Riesgos'!E19='Tablas AR'!$B$6,3,"")))</f>
        <v/>
      </c>
      <c r="G19" s="23"/>
      <c r="H19" t="str">
        <f>IF(G19='Tablas AR'!$B$10,1,IF('Análisis de Riesgos'!G19='Tablas AR'!$B$11,2,IF('Análisis de Riesgos'!G19='Tablas AR'!$B$12,3,"")))</f>
        <v/>
      </c>
      <c r="I19" t="str">
        <f t="shared" si="0"/>
        <v/>
      </c>
    </row>
    <row r="20" spans="2:9" x14ac:dyDescent="0.25">
      <c r="B20" s="24" t="str">
        <f>IFERROR(INDEX(Activos!$B$3:$C$11, MATCH(C20,Activos!$B$3:$B$11),2),"")</f>
        <v/>
      </c>
      <c r="C20" s="24"/>
      <c r="D20" s="24"/>
      <c r="E20" s="23"/>
      <c r="F20" t="str">
        <f>IF(E20='Tablas AR'!$B$4,1,IF('Análisis de Riesgos'!E20='Tablas AR'!$B$5,2,IF('Análisis de Riesgos'!E20='Tablas AR'!$B$6,3,"")))</f>
        <v/>
      </c>
      <c r="G20" s="23"/>
      <c r="H20" t="str">
        <f>IF(G20='Tablas AR'!$B$10,1,IF('Análisis de Riesgos'!G20='Tablas AR'!$B$11,2,IF('Análisis de Riesgos'!G20='Tablas AR'!$B$12,3,"")))</f>
        <v/>
      </c>
      <c r="I20" t="str">
        <f t="shared" si="0"/>
        <v/>
      </c>
    </row>
    <row r="21" spans="2:9" x14ac:dyDescent="0.25">
      <c r="B21" s="24" t="str">
        <f>IFERROR(INDEX(Activos!$B$3:$C$11, MATCH(C21,Activos!$B$3:$B$11),2),"")</f>
        <v/>
      </c>
      <c r="C21" s="24"/>
      <c r="D21" s="24"/>
      <c r="E21" s="23"/>
      <c r="F21" t="str">
        <f>IF(E21='Tablas AR'!$B$4,1,IF('Análisis de Riesgos'!E21='Tablas AR'!$B$5,2,IF('Análisis de Riesgos'!E21='Tablas AR'!$B$6,3,"")))</f>
        <v/>
      </c>
      <c r="G21" s="23"/>
      <c r="H21" t="str">
        <f>IF(G21='Tablas AR'!$B$10,1,IF('Análisis de Riesgos'!G21='Tablas AR'!$B$11,2,IF('Análisis de Riesgos'!G21='Tablas AR'!$B$12,3,"")))</f>
        <v/>
      </c>
      <c r="I21" t="str">
        <f t="shared" si="0"/>
        <v/>
      </c>
    </row>
    <row r="22" spans="2:9" x14ac:dyDescent="0.25">
      <c r="B22" s="24" t="str">
        <f>IFERROR(INDEX(Activos!$B$3:$C$11, MATCH(C22,Activos!$B$3:$B$11),2),"")</f>
        <v/>
      </c>
      <c r="C22" s="24"/>
      <c r="D22" s="24"/>
      <c r="E22" s="23"/>
      <c r="F22" t="str">
        <f>IF(E22='Tablas AR'!$B$4,1,IF('Análisis de Riesgos'!E22='Tablas AR'!$B$5,2,IF('Análisis de Riesgos'!E22='Tablas AR'!$B$6,3,"")))</f>
        <v/>
      </c>
      <c r="G22" s="23"/>
      <c r="H22" t="str">
        <f>IF(G22='Tablas AR'!$B$10,1,IF('Análisis de Riesgos'!G22='Tablas AR'!$B$11,2,IF('Análisis de Riesgos'!G22='Tablas AR'!$B$12,3,"")))</f>
        <v/>
      </c>
      <c r="I22" t="str">
        <f t="shared" si="0"/>
        <v/>
      </c>
    </row>
    <row r="23" spans="2:9" x14ac:dyDescent="0.25">
      <c r="B23" s="24" t="str">
        <f>IFERROR(INDEX(Activos!$B$3:$C$11, MATCH(C23,Activos!$B$3:$B$11),2),"")</f>
        <v/>
      </c>
      <c r="C23" s="24"/>
      <c r="D23" s="24"/>
      <c r="E23" s="23"/>
      <c r="F23" t="str">
        <f>IF(E23='Tablas AR'!$B$4,1,IF('Análisis de Riesgos'!E23='Tablas AR'!$B$5,2,IF('Análisis de Riesgos'!E23='Tablas AR'!$B$6,3,"")))</f>
        <v/>
      </c>
      <c r="G23" s="23"/>
      <c r="H23" t="str">
        <f>IF(G23='Tablas AR'!$B$10,1,IF('Análisis de Riesgos'!G23='Tablas AR'!$B$11,2,IF('Análisis de Riesgos'!G23='Tablas AR'!$B$12,3,"")))</f>
        <v/>
      </c>
      <c r="I23" t="str">
        <f t="shared" si="0"/>
        <v/>
      </c>
    </row>
    <row r="24" spans="2:9" x14ac:dyDescent="0.25">
      <c r="B24" s="24" t="str">
        <f>IFERROR(INDEX(Activos!$B$3:$C$11, MATCH(C24,Activos!$B$3:$B$11),2),"")</f>
        <v/>
      </c>
      <c r="C24" s="24"/>
      <c r="D24" s="24"/>
      <c r="E24" s="23"/>
      <c r="F24" t="str">
        <f>IF(E24='Tablas AR'!$B$4,1,IF('Análisis de Riesgos'!E24='Tablas AR'!$B$5,2,IF('Análisis de Riesgos'!E24='Tablas AR'!$B$6,3,"")))</f>
        <v/>
      </c>
      <c r="G24" s="23"/>
      <c r="H24" t="str">
        <f>IF(G24='Tablas AR'!$B$10,1,IF('Análisis de Riesgos'!G24='Tablas AR'!$B$11,2,IF('Análisis de Riesgos'!G24='Tablas AR'!$B$12,3,"")))</f>
        <v/>
      </c>
      <c r="I24" t="str">
        <f t="shared" si="0"/>
        <v/>
      </c>
    </row>
    <row r="25" spans="2:9" x14ac:dyDescent="0.25">
      <c r="B25" s="24" t="str">
        <f>IFERROR(INDEX(Activos!$B$3:$C$11, MATCH(C25,Activos!$B$3:$B$11),2),"")</f>
        <v/>
      </c>
      <c r="C25" s="24"/>
      <c r="D25" s="24"/>
      <c r="E25" s="23"/>
      <c r="F25" t="str">
        <f>IF(E25='Tablas AR'!$B$4,1,IF('Análisis de Riesgos'!E25='Tablas AR'!$B$5,2,IF('Análisis de Riesgos'!E25='Tablas AR'!$B$6,3,"")))</f>
        <v/>
      </c>
      <c r="G25" s="23"/>
      <c r="H25" t="str">
        <f>IF(G25='Tablas AR'!$B$10,1,IF('Análisis de Riesgos'!G25='Tablas AR'!$B$11,2,IF('Análisis de Riesgos'!G25='Tablas AR'!$B$12,3,"")))</f>
        <v/>
      </c>
      <c r="I25" t="str">
        <f t="shared" si="0"/>
        <v/>
      </c>
    </row>
    <row r="26" spans="2:9" x14ac:dyDescent="0.25">
      <c r="B26" s="24" t="str">
        <f>IFERROR(INDEX(Activos!$B$3:$C$11, MATCH(C26,Activos!$B$3:$B$11),2),"")</f>
        <v/>
      </c>
      <c r="C26" s="24"/>
      <c r="D26" s="24"/>
      <c r="E26" s="23"/>
      <c r="F26" t="str">
        <f>IF(E26='Tablas AR'!$B$4,1,IF('Análisis de Riesgos'!E26='Tablas AR'!$B$5,2,IF('Análisis de Riesgos'!E26='Tablas AR'!$B$6,3,"")))</f>
        <v/>
      </c>
      <c r="G26" s="23"/>
      <c r="H26" t="str">
        <f>IF(G26='Tablas AR'!$B$10,1,IF('Análisis de Riesgos'!G26='Tablas AR'!$B$11,2,IF('Análisis de Riesgos'!G26='Tablas AR'!$B$12,3,"")))</f>
        <v/>
      </c>
      <c r="I26" t="str">
        <f t="shared" si="0"/>
        <v/>
      </c>
    </row>
    <row r="27" spans="2:9" x14ac:dyDescent="0.25">
      <c r="B27" s="24" t="str">
        <f>IFERROR(INDEX(Activos!$B$3:$C$11, MATCH(C27,Activos!$B$3:$B$11),2),"")</f>
        <v/>
      </c>
      <c r="C27" s="24"/>
      <c r="D27" s="24"/>
      <c r="E27" s="23"/>
      <c r="F27" t="str">
        <f>IF(E27='Tablas AR'!$B$4,1,IF('Análisis de Riesgos'!E27='Tablas AR'!$B$5,2,IF('Análisis de Riesgos'!E27='Tablas AR'!$B$6,3,"")))</f>
        <v/>
      </c>
      <c r="G27" s="23"/>
      <c r="H27" t="str">
        <f>IF(G27='Tablas AR'!$B$10,1,IF('Análisis de Riesgos'!G27='Tablas AR'!$B$11,2,IF('Análisis de Riesgos'!G27='Tablas AR'!$B$12,3,"")))</f>
        <v/>
      </c>
      <c r="I27" t="str">
        <f t="shared" si="0"/>
        <v/>
      </c>
    </row>
    <row r="28" spans="2:9" x14ac:dyDescent="0.25">
      <c r="B28" s="24" t="str">
        <f>IFERROR(INDEX(Activos!$B$3:$C$11, MATCH(C28,Activos!$B$3:$B$11),2),"")</f>
        <v/>
      </c>
      <c r="C28" s="24"/>
      <c r="D28" s="24"/>
      <c r="E28" s="23"/>
      <c r="F28" t="str">
        <f>IF(E28='Tablas AR'!$B$4,1,IF('Análisis de Riesgos'!E28='Tablas AR'!$B$5,2,IF('Análisis de Riesgos'!E28='Tablas AR'!$B$6,3,"")))</f>
        <v/>
      </c>
      <c r="G28" s="23"/>
      <c r="H28" t="str">
        <f>IF(G28='Tablas AR'!$B$10,1,IF('Análisis de Riesgos'!G28='Tablas AR'!$B$11,2,IF('Análisis de Riesgos'!G28='Tablas AR'!$B$12,3,"")))</f>
        <v/>
      </c>
      <c r="I28" t="str">
        <f t="shared" si="0"/>
        <v/>
      </c>
    </row>
    <row r="29" spans="2:9" x14ac:dyDescent="0.25">
      <c r="B29" s="24" t="str">
        <f>IFERROR(INDEX(Activos!$B$3:$C$11, MATCH(C29,Activos!$B$3:$B$11),2),"")</f>
        <v/>
      </c>
      <c r="C29" s="24"/>
      <c r="D29" s="24"/>
      <c r="E29" s="23"/>
      <c r="F29" t="str">
        <f>IF(E29='Tablas AR'!$B$4,1,IF('Análisis de Riesgos'!E29='Tablas AR'!$B$5,2,IF('Análisis de Riesgos'!E29='Tablas AR'!$B$6,3,"")))</f>
        <v/>
      </c>
      <c r="G29" s="23"/>
      <c r="H29" t="str">
        <f>IF(G29='Tablas AR'!$B$10,1,IF('Análisis de Riesgos'!G29='Tablas AR'!$B$11,2,IF('Análisis de Riesgos'!G29='Tablas AR'!$B$12,3,"")))</f>
        <v/>
      </c>
      <c r="I29" t="str">
        <f t="shared" si="0"/>
        <v/>
      </c>
    </row>
    <row r="30" spans="2:9" x14ac:dyDescent="0.25">
      <c r="B30" s="24" t="str">
        <f>IFERROR(INDEX(Activos!$B$3:$C$11, MATCH(C30,Activos!$B$3:$B$11),2),"")</f>
        <v/>
      </c>
      <c r="C30" s="24"/>
      <c r="D30" s="24"/>
      <c r="E30" s="23"/>
      <c r="F30" t="str">
        <f>IF(E30='Tablas AR'!$B$4,1,IF('Análisis de Riesgos'!E30='Tablas AR'!$B$5,2,IF('Análisis de Riesgos'!E30='Tablas AR'!$B$6,3,"")))</f>
        <v/>
      </c>
      <c r="G30" s="23"/>
      <c r="H30" t="str">
        <f>IF(G30='Tablas AR'!$B$10,1,IF('Análisis de Riesgos'!G30='Tablas AR'!$B$11,2,IF('Análisis de Riesgos'!G30='Tablas AR'!$B$12,3,"")))</f>
        <v/>
      </c>
      <c r="I30" t="str">
        <f t="shared" si="0"/>
        <v/>
      </c>
    </row>
    <row r="31" spans="2:9" x14ac:dyDescent="0.25">
      <c r="B31" s="24" t="str">
        <f>IFERROR(INDEX(Activos!$B$3:$C$11, MATCH(C31,Activos!$B$3:$B$11),2),"")</f>
        <v/>
      </c>
      <c r="C31" s="24"/>
      <c r="D31" s="24"/>
      <c r="E31" s="23"/>
      <c r="F31" t="str">
        <f>IF(E31='Tablas AR'!$B$4,1,IF('Análisis de Riesgos'!E31='Tablas AR'!$B$5,2,IF('Análisis de Riesgos'!E31='Tablas AR'!$B$6,3,"")))</f>
        <v/>
      </c>
      <c r="G31" s="23"/>
      <c r="H31" t="str">
        <f>IF(G31='Tablas AR'!$B$10,1,IF('Análisis de Riesgos'!G31='Tablas AR'!$B$11,2,IF('Análisis de Riesgos'!G31='Tablas AR'!$B$12,3,"")))</f>
        <v/>
      </c>
      <c r="I31" t="str">
        <f t="shared" si="0"/>
        <v/>
      </c>
    </row>
    <row r="32" spans="2:9" x14ac:dyDescent="0.25">
      <c r="B32" s="24" t="str">
        <f>IFERROR(INDEX(Activos!$B$3:$C$11, MATCH(C32,Activos!$B$3:$B$11),2),"")</f>
        <v/>
      </c>
      <c r="C32" s="24"/>
      <c r="D32" s="24"/>
      <c r="E32" s="23"/>
      <c r="F32" t="str">
        <f>IF(E32='Tablas AR'!$B$4,1,IF('Análisis de Riesgos'!E32='Tablas AR'!$B$5,2,IF('Análisis de Riesgos'!E32='Tablas AR'!$B$6,3,"")))</f>
        <v/>
      </c>
      <c r="G32" s="23"/>
      <c r="H32" t="str">
        <f>IF(G32='Tablas AR'!$B$10,1,IF('Análisis de Riesgos'!G32='Tablas AR'!$B$11,2,IF('Análisis de Riesgos'!G32='Tablas AR'!$B$12,3,"")))</f>
        <v/>
      </c>
      <c r="I32" t="str">
        <f t="shared" si="0"/>
        <v/>
      </c>
    </row>
    <row r="33" spans="2:9" x14ac:dyDescent="0.25">
      <c r="B33" s="24" t="str">
        <f>IFERROR(INDEX(Activos!$B$3:$C$11, MATCH(C33,Activos!$B$3:$B$11),2),"")</f>
        <v/>
      </c>
      <c r="C33" s="24"/>
      <c r="D33" s="24"/>
      <c r="E33" s="23"/>
      <c r="F33" t="str">
        <f>IF(E33='Tablas AR'!$B$4,1,IF('Análisis de Riesgos'!E33='Tablas AR'!$B$5,2,IF('Análisis de Riesgos'!E33='Tablas AR'!$B$6,3,"")))</f>
        <v/>
      </c>
      <c r="G33" s="23"/>
      <c r="H33" t="str">
        <f>IF(G33='Tablas AR'!$B$10,1,IF('Análisis de Riesgos'!G33='Tablas AR'!$B$11,2,IF('Análisis de Riesgos'!G33='Tablas AR'!$B$12,3,"")))</f>
        <v/>
      </c>
      <c r="I33" t="str">
        <f t="shared" si="0"/>
        <v/>
      </c>
    </row>
    <row r="34" spans="2:9" x14ac:dyDescent="0.25">
      <c r="B34" s="24" t="str">
        <f>IFERROR(INDEX(Activos!$B$3:$C$11, MATCH(C34,Activos!$B$3:$B$11),2),"")</f>
        <v/>
      </c>
      <c r="C34" s="24"/>
      <c r="D34" s="24"/>
      <c r="E34" s="23"/>
      <c r="F34" t="str">
        <f>IF(E34='Tablas AR'!$B$4,1,IF('Análisis de Riesgos'!E34='Tablas AR'!$B$5,2,IF('Análisis de Riesgos'!E34='Tablas AR'!$B$6,3,"")))</f>
        <v/>
      </c>
      <c r="G34" s="23"/>
      <c r="H34" t="str">
        <f>IF(G34='Tablas AR'!$B$10,1,IF('Análisis de Riesgos'!G34='Tablas AR'!$B$11,2,IF('Análisis de Riesgos'!G34='Tablas AR'!$B$12,3,"")))</f>
        <v/>
      </c>
      <c r="I34" t="str">
        <f t="shared" si="0"/>
        <v/>
      </c>
    </row>
    <row r="35" spans="2:9" x14ac:dyDescent="0.25">
      <c r="B35" s="24" t="str">
        <f>IFERROR(INDEX(Activos!$B$3:$C$11, MATCH(C35,Activos!$B$3:$B$11),2),"")</f>
        <v/>
      </c>
      <c r="C35" s="24"/>
      <c r="D35" s="24"/>
      <c r="E35" s="23"/>
      <c r="F35" t="str">
        <f>IF(E35='Tablas AR'!$B$4,1,IF('Análisis de Riesgos'!E35='Tablas AR'!$B$5,2,IF('Análisis de Riesgos'!E35='Tablas AR'!$B$6,3,"")))</f>
        <v/>
      </c>
      <c r="G35" s="23"/>
      <c r="H35" t="str">
        <f>IF(G35='Tablas AR'!$B$10,1,IF('Análisis de Riesgos'!G35='Tablas AR'!$B$11,2,IF('Análisis de Riesgos'!G35='Tablas AR'!$B$12,3,"")))</f>
        <v/>
      </c>
      <c r="I35" t="str">
        <f t="shared" si="0"/>
        <v/>
      </c>
    </row>
    <row r="36" spans="2:9" x14ac:dyDescent="0.25">
      <c r="B36" s="24" t="str">
        <f>IFERROR(INDEX(Activos!$B$3:$C$11, MATCH(C36,Activos!$B$3:$B$11),2),"")</f>
        <v/>
      </c>
      <c r="C36" s="24"/>
      <c r="D36" s="24"/>
      <c r="E36" s="23"/>
      <c r="F36" t="str">
        <f>IF(E36='Tablas AR'!$B$4,1,IF('Análisis de Riesgos'!E36='Tablas AR'!$B$5,2,IF('Análisis de Riesgos'!E36='Tablas AR'!$B$6,3,"")))</f>
        <v/>
      </c>
      <c r="G36" s="23"/>
      <c r="H36" t="str">
        <f>IF(G36='Tablas AR'!$B$10,1,IF('Análisis de Riesgos'!G36='Tablas AR'!$B$11,2,IF('Análisis de Riesgos'!G36='Tablas AR'!$B$12,3,"")))</f>
        <v/>
      </c>
      <c r="I36" t="str">
        <f t="shared" si="0"/>
        <v/>
      </c>
    </row>
    <row r="37" spans="2:9" x14ac:dyDescent="0.25">
      <c r="B37" s="24" t="str">
        <f>IFERROR(INDEX(Activos!$B$3:$C$11, MATCH(C37,Activos!$B$3:$B$11),2),"")</f>
        <v/>
      </c>
      <c r="C37" s="24"/>
      <c r="D37" s="24"/>
      <c r="E37" s="23"/>
      <c r="F37" t="str">
        <f>IF(E37='Tablas AR'!$B$4,1,IF('Análisis de Riesgos'!E37='Tablas AR'!$B$5,2,IF('Análisis de Riesgos'!E37='Tablas AR'!$B$6,3,"")))</f>
        <v/>
      </c>
      <c r="G37" s="23"/>
      <c r="H37" t="str">
        <f>IF(G37='Tablas AR'!$B$10,1,IF('Análisis de Riesgos'!G37='Tablas AR'!$B$11,2,IF('Análisis de Riesgos'!G37='Tablas AR'!$B$12,3,"")))</f>
        <v/>
      </c>
      <c r="I37" t="str">
        <f t="shared" si="0"/>
        <v/>
      </c>
    </row>
    <row r="38" spans="2:9" x14ac:dyDescent="0.25">
      <c r="B38" s="24" t="str">
        <f>IFERROR(INDEX(Activos!$B$3:$C$11, MATCH(C38,Activos!$B$3:$B$11),2),"")</f>
        <v/>
      </c>
      <c r="C38" s="24"/>
      <c r="D38" s="24"/>
      <c r="E38" s="23"/>
      <c r="F38" t="str">
        <f>IF(E38='Tablas AR'!$B$4,1,IF('Análisis de Riesgos'!E38='Tablas AR'!$B$5,2,IF('Análisis de Riesgos'!E38='Tablas AR'!$B$6,3,"")))</f>
        <v/>
      </c>
      <c r="G38" s="23"/>
      <c r="H38" t="str">
        <f>IF(G38='Tablas AR'!$B$10,1,IF('Análisis de Riesgos'!G38='Tablas AR'!$B$11,2,IF('Análisis de Riesgos'!G38='Tablas AR'!$B$12,3,"")))</f>
        <v/>
      </c>
      <c r="I38" t="str">
        <f t="shared" si="0"/>
        <v/>
      </c>
    </row>
    <row r="39" spans="2:9" x14ac:dyDescent="0.25">
      <c r="B39" s="24" t="str">
        <f>IFERROR(INDEX(Activos!$B$3:$C$11, MATCH(C39,Activos!$B$3:$B$11),2),"")</f>
        <v/>
      </c>
      <c r="C39" s="24"/>
      <c r="D39" s="24"/>
      <c r="E39" s="23"/>
      <c r="F39" t="str">
        <f>IF(E39='Tablas AR'!$B$4,1,IF('Análisis de Riesgos'!E39='Tablas AR'!$B$5,2,IF('Análisis de Riesgos'!E39='Tablas AR'!$B$6,3,"")))</f>
        <v/>
      </c>
      <c r="G39" s="23"/>
      <c r="H39" t="str">
        <f>IF(G39='Tablas AR'!$B$10,1,IF('Análisis de Riesgos'!G39='Tablas AR'!$B$11,2,IF('Análisis de Riesgos'!G39='Tablas AR'!$B$12,3,"")))</f>
        <v/>
      </c>
      <c r="I39" t="str">
        <f t="shared" si="0"/>
        <v/>
      </c>
    </row>
    <row r="40" spans="2:9" x14ac:dyDescent="0.25">
      <c r="B40" s="24" t="str">
        <f>IFERROR(INDEX(Activos!$B$3:$C$11, MATCH(C40,Activos!$B$3:$B$11),2),"")</f>
        <v/>
      </c>
      <c r="C40" s="24"/>
      <c r="D40" s="24"/>
      <c r="E40" s="23"/>
      <c r="F40" t="str">
        <f>IF(E40='Tablas AR'!$B$4,1,IF('Análisis de Riesgos'!E40='Tablas AR'!$B$5,2,IF('Análisis de Riesgos'!E40='Tablas AR'!$B$6,3,"")))</f>
        <v/>
      </c>
      <c r="G40" s="23"/>
      <c r="H40" t="str">
        <f>IF(G40='Tablas AR'!$B$10,1,IF('Análisis de Riesgos'!G40='Tablas AR'!$B$11,2,IF('Análisis de Riesgos'!G40='Tablas AR'!$B$12,3,"")))</f>
        <v/>
      </c>
      <c r="I40" t="str">
        <f t="shared" si="0"/>
        <v/>
      </c>
    </row>
    <row r="41" spans="2:9" x14ac:dyDescent="0.25">
      <c r="B41" s="24" t="str">
        <f>IFERROR(INDEX(Activos!$B$3:$C$11, MATCH(C41,Activos!$B$3:$B$11),2),"")</f>
        <v/>
      </c>
      <c r="C41" s="24"/>
      <c r="D41" s="24"/>
      <c r="E41" s="23"/>
      <c r="F41" t="str">
        <f>IF(E41='Tablas AR'!$B$4,1,IF('Análisis de Riesgos'!E41='Tablas AR'!$B$5,2,IF('Análisis de Riesgos'!E41='Tablas AR'!$B$6,3,"")))</f>
        <v/>
      </c>
      <c r="G41" s="23"/>
      <c r="H41" t="str">
        <f>IF(G41='Tablas AR'!$B$10,1,IF('Análisis de Riesgos'!G41='Tablas AR'!$B$11,2,IF('Análisis de Riesgos'!G41='Tablas AR'!$B$12,3,"")))</f>
        <v/>
      </c>
      <c r="I41" t="str">
        <f t="shared" si="0"/>
        <v/>
      </c>
    </row>
    <row r="42" spans="2:9" x14ac:dyDescent="0.25">
      <c r="B42" s="24" t="str">
        <f>IFERROR(INDEX(Activos!$B$3:$C$11, MATCH(C42,Activos!$B$3:$B$11),2),"")</f>
        <v/>
      </c>
      <c r="C42" s="24"/>
      <c r="D42" s="24"/>
      <c r="E42" s="23"/>
      <c r="F42" t="str">
        <f>IF(E42='Tablas AR'!$B$4,1,IF('Análisis de Riesgos'!E42='Tablas AR'!$B$5,2,IF('Análisis de Riesgos'!E42='Tablas AR'!$B$6,3,"")))</f>
        <v/>
      </c>
      <c r="G42" s="23"/>
      <c r="H42" t="str">
        <f>IF(G42='Tablas AR'!$B$10,1,IF('Análisis de Riesgos'!G42='Tablas AR'!$B$11,2,IF('Análisis de Riesgos'!G42='Tablas AR'!$B$12,3,"")))</f>
        <v/>
      </c>
      <c r="I42" t="str">
        <f t="shared" si="0"/>
        <v/>
      </c>
    </row>
    <row r="43" spans="2:9" x14ac:dyDescent="0.25">
      <c r="B43" s="24" t="str">
        <f>IFERROR(INDEX(Activos!$B$3:$C$11, MATCH(C43,Activos!$B$3:$B$11),2),"")</f>
        <v/>
      </c>
      <c r="C43" s="24"/>
      <c r="D43" s="24"/>
      <c r="E43" s="23"/>
      <c r="F43" t="str">
        <f>IF(E43='Tablas AR'!$B$4,1,IF('Análisis de Riesgos'!E43='Tablas AR'!$B$5,2,IF('Análisis de Riesgos'!E43='Tablas AR'!$B$6,3,"")))</f>
        <v/>
      </c>
      <c r="G43" s="23"/>
      <c r="H43" t="str">
        <f>IF(G43='Tablas AR'!$B$10,1,IF('Análisis de Riesgos'!G43='Tablas AR'!$B$11,2,IF('Análisis de Riesgos'!G43='Tablas AR'!$B$12,3,"")))</f>
        <v/>
      </c>
      <c r="I43" t="str">
        <f t="shared" si="0"/>
        <v/>
      </c>
    </row>
    <row r="44" spans="2:9" x14ac:dyDescent="0.25">
      <c r="B44" s="24" t="str">
        <f>IFERROR(INDEX(Activos!$B$3:$C$11, MATCH(C44,Activos!$B$3:$B$11),2),"")</f>
        <v/>
      </c>
      <c r="C44" s="24"/>
      <c r="D44" s="24"/>
      <c r="E44" s="23"/>
      <c r="F44" t="str">
        <f>IF(E44='Tablas AR'!$B$4,1,IF('Análisis de Riesgos'!E44='Tablas AR'!$B$5,2,IF('Análisis de Riesgos'!E44='Tablas AR'!$B$6,3,"")))</f>
        <v/>
      </c>
      <c r="G44" s="23"/>
      <c r="H44" t="str">
        <f>IF(G44='Tablas AR'!$B$10,1,IF('Análisis de Riesgos'!G44='Tablas AR'!$B$11,2,IF('Análisis de Riesgos'!G44='Tablas AR'!$B$12,3,"")))</f>
        <v/>
      </c>
      <c r="I44" t="str">
        <f t="shared" si="0"/>
        <v/>
      </c>
    </row>
    <row r="45" spans="2:9" x14ac:dyDescent="0.25">
      <c r="B45" s="24" t="str">
        <f>IFERROR(INDEX(Activos!$B$3:$C$11, MATCH(C45,Activos!$B$3:$B$11),2),"")</f>
        <v/>
      </c>
      <c r="C45" s="24"/>
      <c r="D45" s="24"/>
      <c r="E45" s="23"/>
      <c r="F45" t="str">
        <f>IF(E45='Tablas AR'!$B$4,1,IF('Análisis de Riesgos'!E45='Tablas AR'!$B$5,2,IF('Análisis de Riesgos'!E45='Tablas AR'!$B$6,3,"")))</f>
        <v/>
      </c>
      <c r="G45" s="23"/>
      <c r="H45" t="str">
        <f>IF(G45='Tablas AR'!$B$10,1,IF('Análisis de Riesgos'!G45='Tablas AR'!$B$11,2,IF('Análisis de Riesgos'!G45='Tablas AR'!$B$12,3,"")))</f>
        <v/>
      </c>
      <c r="I45" t="str">
        <f t="shared" si="0"/>
        <v/>
      </c>
    </row>
    <row r="46" spans="2:9" x14ac:dyDescent="0.25">
      <c r="B46" s="24" t="str">
        <f>IFERROR(INDEX(Activos!$B$3:$C$11, MATCH(C46,Activos!$B$3:$B$11),2),"")</f>
        <v/>
      </c>
      <c r="C46" s="24"/>
      <c r="D46" s="24"/>
      <c r="E46" s="23"/>
      <c r="F46" t="str">
        <f>IF(E46='Tablas AR'!$B$4,1,IF('Análisis de Riesgos'!E46='Tablas AR'!$B$5,2,IF('Análisis de Riesgos'!E46='Tablas AR'!$B$6,3,"")))</f>
        <v/>
      </c>
      <c r="G46" s="23"/>
      <c r="H46" t="str">
        <f>IF(G46='Tablas AR'!$B$10,1,IF('Análisis de Riesgos'!G46='Tablas AR'!$B$11,2,IF('Análisis de Riesgos'!G46='Tablas AR'!$B$12,3,"")))</f>
        <v/>
      </c>
      <c r="I46" t="str">
        <f t="shared" si="0"/>
        <v/>
      </c>
    </row>
    <row r="47" spans="2:9" x14ac:dyDescent="0.25">
      <c r="B47" s="24" t="str">
        <f>IFERROR(INDEX(Activos!$B$3:$C$11, MATCH(C47,Activos!$B$3:$B$11),2),"")</f>
        <v/>
      </c>
      <c r="C47" s="24"/>
      <c r="D47" s="24"/>
      <c r="E47" s="23"/>
      <c r="F47" t="str">
        <f>IF(E47='Tablas AR'!$B$4,1,IF('Análisis de Riesgos'!E47='Tablas AR'!$B$5,2,IF('Análisis de Riesgos'!E47='Tablas AR'!$B$6,3,"")))</f>
        <v/>
      </c>
      <c r="G47" s="23"/>
      <c r="H47" t="str">
        <f>IF(G47='Tablas AR'!$B$10,1,IF('Análisis de Riesgos'!G47='Tablas AR'!$B$11,2,IF('Análisis de Riesgos'!G47='Tablas AR'!$B$12,3,"")))</f>
        <v/>
      </c>
      <c r="I47" t="str">
        <f t="shared" si="0"/>
        <v/>
      </c>
    </row>
    <row r="48" spans="2:9" x14ac:dyDescent="0.25">
      <c r="B48" s="24" t="str">
        <f>IFERROR(INDEX(Activos!$B$3:$C$11, MATCH(C48,Activos!$B$3:$B$11),2),"")</f>
        <v/>
      </c>
      <c r="C48" s="24"/>
      <c r="D48" s="24"/>
      <c r="E48" s="23"/>
      <c r="F48" t="str">
        <f>IF(E48='Tablas AR'!$B$4,1,IF('Análisis de Riesgos'!E48='Tablas AR'!$B$5,2,IF('Análisis de Riesgos'!E48='Tablas AR'!$B$6,3,"")))</f>
        <v/>
      </c>
      <c r="G48" s="23"/>
      <c r="H48" t="str">
        <f>IF(G48='Tablas AR'!$B$10,1,IF('Análisis de Riesgos'!G48='Tablas AR'!$B$11,2,IF('Análisis de Riesgos'!G48='Tablas AR'!$B$12,3,"")))</f>
        <v/>
      </c>
      <c r="I48" t="str">
        <f t="shared" si="0"/>
        <v/>
      </c>
    </row>
    <row r="49" spans="2:9" x14ac:dyDescent="0.25">
      <c r="B49" s="24" t="str">
        <f>IFERROR(INDEX(Activos!$B$3:$C$11, MATCH(C49,Activos!$B$3:$B$11),2),"")</f>
        <v/>
      </c>
      <c r="C49" s="24"/>
      <c r="D49" s="24"/>
      <c r="E49" s="23"/>
      <c r="F49" t="str">
        <f>IF(E49='Tablas AR'!$B$4,1,IF('Análisis de Riesgos'!E49='Tablas AR'!$B$5,2,IF('Análisis de Riesgos'!E49='Tablas AR'!$B$6,3,"")))</f>
        <v/>
      </c>
      <c r="G49" s="23"/>
      <c r="H49" t="str">
        <f>IF(G49='Tablas AR'!$B$10,1,IF('Análisis de Riesgos'!G49='Tablas AR'!$B$11,2,IF('Análisis de Riesgos'!G49='Tablas AR'!$B$12,3,"")))</f>
        <v/>
      </c>
      <c r="I49" t="str">
        <f t="shared" si="0"/>
        <v/>
      </c>
    </row>
    <row r="50" spans="2:9" x14ac:dyDescent="0.25">
      <c r="B50" s="24" t="str">
        <f>IFERROR(INDEX(Activos!$B$3:$C$11, MATCH(C50,Activos!$B$3:$B$11),2),"")</f>
        <v/>
      </c>
      <c r="C50" s="24"/>
      <c r="D50" s="24"/>
      <c r="E50" s="23"/>
      <c r="F50" t="str">
        <f>IF(E50='Tablas AR'!$B$4,1,IF('Análisis de Riesgos'!E50='Tablas AR'!$B$5,2,IF('Análisis de Riesgos'!E50='Tablas AR'!$B$6,3,"")))</f>
        <v/>
      </c>
      <c r="G50" s="23"/>
      <c r="H50" t="str">
        <f>IF(G50='Tablas AR'!$B$10,1,IF('Análisis de Riesgos'!G50='Tablas AR'!$B$11,2,IF('Análisis de Riesgos'!G50='Tablas AR'!$B$12,3,"")))</f>
        <v/>
      </c>
      <c r="I50" t="str">
        <f t="shared" si="0"/>
        <v/>
      </c>
    </row>
    <row r="51" spans="2:9" x14ac:dyDescent="0.25">
      <c r="B51" s="24" t="str">
        <f>IFERROR(INDEX(Activos!$B$3:$C$11, MATCH(C51,Activos!$B$3:$B$11),2),"")</f>
        <v/>
      </c>
      <c r="C51" s="24"/>
      <c r="D51" s="24"/>
      <c r="E51" s="23"/>
      <c r="F51" t="str">
        <f>IF(E51='Tablas AR'!$B$4,1,IF('Análisis de Riesgos'!E51='Tablas AR'!$B$5,2,IF('Análisis de Riesgos'!E51='Tablas AR'!$B$6,3,"")))</f>
        <v/>
      </c>
      <c r="G51" s="23"/>
      <c r="H51" t="str">
        <f>IF(G51='Tablas AR'!$B$10,1,IF('Análisis de Riesgos'!G51='Tablas AR'!$B$11,2,IF('Análisis de Riesgos'!G51='Tablas AR'!$B$12,3,"")))</f>
        <v/>
      </c>
      <c r="I51" t="str">
        <f t="shared" si="0"/>
        <v/>
      </c>
    </row>
    <row r="52" spans="2:9" x14ac:dyDescent="0.25">
      <c r="B52" s="24" t="str">
        <f>IFERROR(INDEX(Activos!$B$3:$C$11, MATCH(C52,Activos!$B$3:$B$11),2),"")</f>
        <v/>
      </c>
      <c r="C52" s="24"/>
      <c r="D52" s="24"/>
      <c r="E52" s="23"/>
      <c r="F52" t="str">
        <f>IF(E52='Tablas AR'!$B$4,1,IF('Análisis de Riesgos'!E52='Tablas AR'!$B$5,2,IF('Análisis de Riesgos'!E52='Tablas AR'!$B$6,3,"")))</f>
        <v/>
      </c>
      <c r="G52" s="23"/>
      <c r="H52" t="str">
        <f>IF(G52='Tablas AR'!$B$10,1,IF('Análisis de Riesgos'!G52='Tablas AR'!$B$11,2,IF('Análisis de Riesgos'!G52='Tablas AR'!$B$12,3,"")))</f>
        <v/>
      </c>
      <c r="I52" t="str">
        <f t="shared" si="0"/>
        <v/>
      </c>
    </row>
    <row r="53" spans="2:9" x14ac:dyDescent="0.25">
      <c r="B53" s="24" t="str">
        <f>IFERROR(INDEX(Activos!$B$3:$C$11, MATCH(C53,Activos!$B$3:$B$11),2),"")</f>
        <v/>
      </c>
      <c r="C53" s="24"/>
      <c r="D53" s="24"/>
      <c r="E53" s="23"/>
      <c r="F53" t="str">
        <f>IF(E53='Tablas AR'!$B$4,1,IF('Análisis de Riesgos'!E53='Tablas AR'!$B$5,2,IF('Análisis de Riesgos'!E53='Tablas AR'!$B$6,3,"")))</f>
        <v/>
      </c>
      <c r="G53" s="23"/>
      <c r="H53" t="str">
        <f>IF(G53='Tablas AR'!$B$10,1,IF('Análisis de Riesgos'!G53='Tablas AR'!$B$11,2,IF('Análisis de Riesgos'!G53='Tablas AR'!$B$12,3,"")))</f>
        <v/>
      </c>
      <c r="I53" t="str">
        <f t="shared" si="0"/>
        <v/>
      </c>
    </row>
    <row r="54" spans="2:9" x14ac:dyDescent="0.25">
      <c r="B54" s="24" t="str">
        <f>IFERROR(INDEX(Activos!$B$3:$C$11, MATCH(C54,Activos!$B$3:$B$11),2),"")</f>
        <v/>
      </c>
      <c r="C54" s="24"/>
      <c r="D54" s="24"/>
      <c r="E54" s="23"/>
      <c r="F54" t="str">
        <f>IF(E54='Tablas AR'!$B$4,1,IF('Análisis de Riesgos'!E54='Tablas AR'!$B$5,2,IF('Análisis de Riesgos'!E54='Tablas AR'!$B$6,3,"")))</f>
        <v/>
      </c>
      <c r="G54" s="23"/>
      <c r="H54" t="str">
        <f>IF(G54='Tablas AR'!$B$10,1,IF('Análisis de Riesgos'!G54='Tablas AR'!$B$11,2,IF('Análisis de Riesgos'!G54='Tablas AR'!$B$12,3,"")))</f>
        <v/>
      </c>
      <c r="I54" t="str">
        <f t="shared" si="0"/>
        <v/>
      </c>
    </row>
    <row r="55" spans="2:9" x14ac:dyDescent="0.25">
      <c r="B55" s="24" t="str">
        <f>IFERROR(INDEX(Activos!$B$3:$C$11, MATCH(C55,Activos!$B$3:$B$11),2),"")</f>
        <v/>
      </c>
      <c r="C55" s="24"/>
      <c r="D55" s="24"/>
      <c r="E55" s="23"/>
      <c r="F55" t="str">
        <f>IF(E55='Tablas AR'!$B$4,1,IF('Análisis de Riesgos'!E55='Tablas AR'!$B$5,2,IF('Análisis de Riesgos'!E55='Tablas AR'!$B$6,3,"")))</f>
        <v/>
      </c>
      <c r="G55" s="23"/>
      <c r="H55" t="str">
        <f>IF(G55='Tablas AR'!$B$10,1,IF('Análisis de Riesgos'!G55='Tablas AR'!$B$11,2,IF('Análisis de Riesgos'!G55='Tablas AR'!$B$12,3,"")))</f>
        <v/>
      </c>
      <c r="I55" t="str">
        <f t="shared" si="0"/>
        <v/>
      </c>
    </row>
    <row r="56" spans="2:9" x14ac:dyDescent="0.25">
      <c r="B56" s="24" t="str">
        <f>IFERROR(INDEX(Activos!$B$3:$C$11, MATCH(C56,Activos!$B$3:$B$11),2),"")</f>
        <v/>
      </c>
      <c r="C56" s="24"/>
      <c r="D56" s="24"/>
      <c r="E56" s="23"/>
      <c r="F56" t="str">
        <f>IF(E56='Tablas AR'!$B$4,1,IF('Análisis de Riesgos'!E56='Tablas AR'!$B$5,2,IF('Análisis de Riesgos'!E56='Tablas AR'!$B$6,3,"")))</f>
        <v/>
      </c>
      <c r="G56" s="23"/>
      <c r="H56" t="str">
        <f>IF(G56='Tablas AR'!$B$10,1,IF('Análisis de Riesgos'!G56='Tablas AR'!$B$11,2,IF('Análisis de Riesgos'!G56='Tablas AR'!$B$12,3,"")))</f>
        <v/>
      </c>
      <c r="I56" t="str">
        <f t="shared" si="0"/>
        <v/>
      </c>
    </row>
    <row r="57" spans="2:9" x14ac:dyDescent="0.25">
      <c r="B57" s="24" t="str">
        <f>IFERROR(INDEX(Activos!$B$3:$C$11, MATCH(C57,Activos!$B$3:$B$11),2),"")</f>
        <v/>
      </c>
      <c r="C57" s="24"/>
      <c r="D57" s="24"/>
      <c r="E57" s="23"/>
      <c r="F57" t="str">
        <f>IF(E57='Tablas AR'!$B$4,1,IF('Análisis de Riesgos'!E57='Tablas AR'!$B$5,2,IF('Análisis de Riesgos'!E57='Tablas AR'!$B$6,3,"")))</f>
        <v/>
      </c>
      <c r="G57" s="23"/>
      <c r="H57" t="str">
        <f>IF(G57='Tablas AR'!$B$10,1,IF('Análisis de Riesgos'!G57='Tablas AR'!$B$11,2,IF('Análisis de Riesgos'!G57='Tablas AR'!$B$12,3,"")))</f>
        <v/>
      </c>
      <c r="I57" t="str">
        <f t="shared" si="0"/>
        <v/>
      </c>
    </row>
    <row r="58" spans="2:9" x14ac:dyDescent="0.25">
      <c r="B58" s="24" t="str">
        <f>IFERROR(INDEX(Activos!$B$3:$C$11, MATCH(C58,Activos!$B$3:$B$11),2),"")</f>
        <v/>
      </c>
      <c r="C58" s="24"/>
      <c r="D58" s="24"/>
      <c r="E58" s="23"/>
      <c r="F58" t="str">
        <f>IF(E58='Tablas AR'!$B$4,1,IF('Análisis de Riesgos'!E58='Tablas AR'!$B$5,2,IF('Análisis de Riesgos'!E58='Tablas AR'!$B$6,3,"")))</f>
        <v/>
      </c>
      <c r="G58" s="23"/>
      <c r="H58" t="str">
        <f>IF(G58='Tablas AR'!$B$10,1,IF('Análisis de Riesgos'!G58='Tablas AR'!$B$11,2,IF('Análisis de Riesgos'!G58='Tablas AR'!$B$12,3,"")))</f>
        <v/>
      </c>
      <c r="I58" t="str">
        <f t="shared" si="0"/>
        <v/>
      </c>
    </row>
    <row r="59" spans="2:9" x14ac:dyDescent="0.25">
      <c r="B59" s="24" t="str">
        <f>IFERROR(INDEX(Activos!$B$3:$C$11, MATCH(C59,Activos!$B$3:$B$11),2),"")</f>
        <v/>
      </c>
      <c r="C59" s="24"/>
      <c r="D59" s="24"/>
      <c r="E59" s="23"/>
      <c r="F59" t="str">
        <f>IF(E59='Tablas AR'!$B$4,1,IF('Análisis de Riesgos'!E59='Tablas AR'!$B$5,2,IF('Análisis de Riesgos'!E59='Tablas AR'!$B$6,3,"")))</f>
        <v/>
      </c>
      <c r="G59" s="23"/>
      <c r="H59" t="str">
        <f>IF(G59='Tablas AR'!$B$10,1,IF('Análisis de Riesgos'!G59='Tablas AR'!$B$11,2,IF('Análisis de Riesgos'!G59='Tablas AR'!$B$12,3,"")))</f>
        <v/>
      </c>
      <c r="I59" t="str">
        <f t="shared" si="0"/>
        <v/>
      </c>
    </row>
    <row r="60" spans="2:9" x14ac:dyDescent="0.25">
      <c r="B60" s="24" t="str">
        <f>IFERROR(INDEX(Activos!$B$3:$C$11, MATCH(C60,Activos!$B$3:$B$11),2),"")</f>
        <v/>
      </c>
      <c r="C60" s="24"/>
      <c r="D60" s="24"/>
      <c r="E60" s="23"/>
      <c r="F60" t="str">
        <f>IF(E60='Tablas AR'!$B$4,1,IF('Análisis de Riesgos'!E60='Tablas AR'!$B$5,2,IF('Análisis de Riesgos'!E60='Tablas AR'!$B$6,3,"")))</f>
        <v/>
      </c>
      <c r="G60" s="23"/>
      <c r="H60" t="str">
        <f>IF(G60='Tablas AR'!$B$10,1,IF('Análisis de Riesgos'!G60='Tablas AR'!$B$11,2,IF('Análisis de Riesgos'!G60='Tablas AR'!$B$12,3,"")))</f>
        <v/>
      </c>
      <c r="I60" t="str">
        <f t="shared" si="0"/>
        <v/>
      </c>
    </row>
    <row r="61" spans="2:9" x14ac:dyDescent="0.25">
      <c r="B61" s="24" t="str">
        <f>IFERROR(INDEX(Activos!$B$3:$C$11, MATCH(C61,Activos!$B$3:$B$11),2),"")</f>
        <v/>
      </c>
      <c r="C61" s="24"/>
      <c r="D61" s="24"/>
      <c r="E61" s="23"/>
      <c r="F61" t="str">
        <f>IF(E61='Tablas AR'!$B$4,1,IF('Análisis de Riesgos'!E61='Tablas AR'!$B$5,2,IF('Análisis de Riesgos'!E61='Tablas AR'!$B$6,3,"")))</f>
        <v/>
      </c>
      <c r="G61" s="23"/>
      <c r="H61" t="str">
        <f>IF(G61='Tablas AR'!$B$10,1,IF('Análisis de Riesgos'!G61='Tablas AR'!$B$11,2,IF('Análisis de Riesgos'!G61='Tablas AR'!$B$12,3,"")))</f>
        <v/>
      </c>
      <c r="I61" t="str">
        <f t="shared" si="0"/>
        <v/>
      </c>
    </row>
    <row r="62" spans="2:9" x14ac:dyDescent="0.25">
      <c r="B62" s="24" t="str">
        <f>IFERROR(INDEX(Activos!$B$3:$C$11, MATCH(C62,Activos!$B$3:$B$11),2),"")</f>
        <v/>
      </c>
      <c r="C62" s="24"/>
      <c r="D62" s="24"/>
      <c r="E62" s="23"/>
      <c r="F62" t="str">
        <f>IF(E62='Tablas AR'!$B$4,1,IF('Análisis de Riesgos'!E62='Tablas AR'!$B$5,2,IF('Análisis de Riesgos'!E62='Tablas AR'!$B$6,3,"")))</f>
        <v/>
      </c>
      <c r="G62" s="23"/>
      <c r="H62" t="str">
        <f>IF(G62='Tablas AR'!$B$10,1,IF('Análisis de Riesgos'!G62='Tablas AR'!$B$11,2,IF('Análisis de Riesgos'!G62='Tablas AR'!$B$12,3,"")))</f>
        <v/>
      </c>
      <c r="I62" t="str">
        <f t="shared" si="0"/>
        <v/>
      </c>
    </row>
    <row r="63" spans="2:9" x14ac:dyDescent="0.25">
      <c r="B63" s="24" t="str">
        <f>IFERROR(INDEX(Activos!$B$3:$C$11, MATCH(C63,Activos!$B$3:$B$11),2),"")</f>
        <v/>
      </c>
      <c r="C63" s="24"/>
      <c r="D63" s="24"/>
      <c r="E63" s="23"/>
      <c r="F63" t="str">
        <f>IF(E63='Tablas AR'!$B$4,1,IF('Análisis de Riesgos'!E63='Tablas AR'!$B$5,2,IF('Análisis de Riesgos'!E63='Tablas AR'!$B$6,3,"")))</f>
        <v/>
      </c>
      <c r="G63" s="23"/>
      <c r="H63" t="str">
        <f>IF(G63='Tablas AR'!$B$10,1,IF('Análisis de Riesgos'!G63='Tablas AR'!$B$11,2,IF('Análisis de Riesgos'!G63='Tablas AR'!$B$12,3,"")))</f>
        <v/>
      </c>
      <c r="I63" t="str">
        <f t="shared" si="0"/>
        <v/>
      </c>
    </row>
    <row r="64" spans="2:9" x14ac:dyDescent="0.25">
      <c r="B64" s="24" t="str">
        <f>IFERROR(INDEX(Activos!$B$3:$C$11, MATCH(C64,Activos!$B$3:$B$11),2),"")</f>
        <v/>
      </c>
      <c r="C64" s="24"/>
      <c r="D64" s="24"/>
      <c r="E64" s="23"/>
      <c r="F64" t="str">
        <f>IF(E64='Tablas AR'!$B$4,1,IF('Análisis de Riesgos'!E64='Tablas AR'!$B$5,2,IF('Análisis de Riesgos'!E64='Tablas AR'!$B$6,3,"")))</f>
        <v/>
      </c>
      <c r="G64" s="23"/>
      <c r="H64" t="str">
        <f>IF(G64='Tablas AR'!$B$10,1,IF('Análisis de Riesgos'!G64='Tablas AR'!$B$11,2,IF('Análisis de Riesgos'!G64='Tablas AR'!$B$12,3,"")))</f>
        <v/>
      </c>
      <c r="I64" t="str">
        <f t="shared" si="0"/>
        <v/>
      </c>
    </row>
    <row r="65" spans="2:9" x14ac:dyDescent="0.25">
      <c r="B65" s="24" t="str">
        <f>IFERROR(INDEX(Activos!$B$3:$C$11, MATCH(C65,Activos!$B$3:$B$11),2),"")</f>
        <v/>
      </c>
      <c r="C65" s="24"/>
      <c r="D65" s="24"/>
      <c r="E65" s="23"/>
      <c r="F65" t="str">
        <f>IF(E65='Tablas AR'!$B$4,1,IF('Análisis de Riesgos'!E65='Tablas AR'!$B$5,2,IF('Análisis de Riesgos'!E65='Tablas AR'!$B$6,3,"")))</f>
        <v/>
      </c>
      <c r="G65" s="23"/>
      <c r="H65" t="str">
        <f>IF(G65='Tablas AR'!$B$10,1,IF('Análisis de Riesgos'!G65='Tablas AR'!$B$11,2,IF('Análisis de Riesgos'!G65='Tablas AR'!$B$12,3,"")))</f>
        <v/>
      </c>
      <c r="I65" t="str">
        <f t="shared" si="0"/>
        <v/>
      </c>
    </row>
    <row r="66" spans="2:9" x14ac:dyDescent="0.25">
      <c r="B66" s="24" t="str">
        <f>IFERROR(INDEX(Activos!$B$3:$C$11, MATCH(C66,Activos!$B$3:$B$11),2),"")</f>
        <v/>
      </c>
      <c r="C66" s="24"/>
      <c r="D66" s="24"/>
      <c r="E66" s="23"/>
      <c r="F66" t="str">
        <f>IF(E66='Tablas AR'!$B$4,1,IF('Análisis de Riesgos'!E66='Tablas AR'!$B$5,2,IF('Análisis de Riesgos'!E66='Tablas AR'!$B$6,3,"")))</f>
        <v/>
      </c>
      <c r="G66" s="23"/>
      <c r="H66" t="str">
        <f>IF(G66='Tablas AR'!$B$10,1,IF('Análisis de Riesgos'!G66='Tablas AR'!$B$11,2,IF('Análisis de Riesgos'!G66='Tablas AR'!$B$12,3,"")))</f>
        <v/>
      </c>
      <c r="I66" t="str">
        <f t="shared" si="0"/>
        <v/>
      </c>
    </row>
    <row r="67" spans="2:9" x14ac:dyDescent="0.25">
      <c r="B67" s="24" t="str">
        <f>IFERROR(INDEX(Activos!$B$3:$C$11, MATCH(C67,Activos!$B$3:$B$11),2),"")</f>
        <v/>
      </c>
      <c r="C67" s="24"/>
      <c r="D67" s="24"/>
      <c r="E67" s="23"/>
      <c r="F67" t="str">
        <f>IF(E67='Tablas AR'!$B$4,1,IF('Análisis de Riesgos'!E67='Tablas AR'!$B$5,2,IF('Análisis de Riesgos'!E67='Tablas AR'!$B$6,3,"")))</f>
        <v/>
      </c>
      <c r="G67" s="23"/>
      <c r="H67" t="str">
        <f>IF(G67='Tablas AR'!$B$10,1,IF('Análisis de Riesgos'!G67='Tablas AR'!$B$11,2,IF('Análisis de Riesgos'!G67='Tablas AR'!$B$12,3,"")))</f>
        <v/>
      </c>
      <c r="I67" t="str">
        <f t="shared" si="0"/>
        <v/>
      </c>
    </row>
    <row r="68" spans="2:9" x14ac:dyDescent="0.25">
      <c r="B68" s="24" t="str">
        <f>IFERROR(INDEX(Activos!$B$3:$C$11, MATCH(C68,Activos!$B$3:$B$11),2),"")</f>
        <v/>
      </c>
      <c r="C68" s="24"/>
      <c r="D68" s="24"/>
      <c r="E68" s="23"/>
      <c r="F68" t="str">
        <f>IF(E68='Tablas AR'!$B$4,1,IF('Análisis de Riesgos'!E68='Tablas AR'!$B$5,2,IF('Análisis de Riesgos'!E68='Tablas AR'!$B$6,3,"")))</f>
        <v/>
      </c>
      <c r="G68" s="23"/>
      <c r="H68" t="str">
        <f>IF(G68='Tablas AR'!$B$10,1,IF('Análisis de Riesgos'!G68='Tablas AR'!$B$11,2,IF('Análisis de Riesgos'!G68='Tablas AR'!$B$12,3,"")))</f>
        <v/>
      </c>
      <c r="I68" t="str">
        <f t="shared" ref="I68:I131" si="1" xml:space="preserve"> IFERROR(F68*H68,"")</f>
        <v/>
      </c>
    </row>
    <row r="69" spans="2:9" x14ac:dyDescent="0.25">
      <c r="B69" s="24" t="str">
        <f>IFERROR(INDEX(Activos!$B$3:$C$11, MATCH(C69,Activos!$B$3:$B$11),2),"")</f>
        <v/>
      </c>
      <c r="C69" s="24"/>
      <c r="D69" s="24"/>
      <c r="E69" s="23"/>
      <c r="F69" t="str">
        <f>IF(E69='Tablas AR'!$B$4,1,IF('Análisis de Riesgos'!E69='Tablas AR'!$B$5,2,IF('Análisis de Riesgos'!E69='Tablas AR'!$B$6,3,"")))</f>
        <v/>
      </c>
      <c r="G69" s="23"/>
      <c r="H69" t="str">
        <f>IF(G69='Tablas AR'!$B$10,1,IF('Análisis de Riesgos'!G69='Tablas AR'!$B$11,2,IF('Análisis de Riesgos'!G69='Tablas AR'!$B$12,3,"")))</f>
        <v/>
      </c>
      <c r="I69" t="str">
        <f t="shared" si="1"/>
        <v/>
      </c>
    </row>
    <row r="70" spans="2:9" x14ac:dyDescent="0.25">
      <c r="B70" s="24" t="str">
        <f>IFERROR(INDEX(Activos!$B$3:$C$11, MATCH(C70,Activos!$B$3:$B$11),2),"")</f>
        <v/>
      </c>
      <c r="C70" s="24"/>
      <c r="D70" s="24"/>
      <c r="E70" s="23"/>
      <c r="F70" t="str">
        <f>IF(E70='Tablas AR'!$B$4,1,IF('Análisis de Riesgos'!E70='Tablas AR'!$B$5,2,IF('Análisis de Riesgos'!E70='Tablas AR'!$B$6,3,"")))</f>
        <v/>
      </c>
      <c r="G70" s="23"/>
      <c r="H70" t="str">
        <f>IF(G70='Tablas AR'!$B$10,1,IF('Análisis de Riesgos'!G70='Tablas AR'!$B$11,2,IF('Análisis de Riesgos'!G70='Tablas AR'!$B$12,3,"")))</f>
        <v/>
      </c>
      <c r="I70" t="str">
        <f t="shared" si="1"/>
        <v/>
      </c>
    </row>
    <row r="71" spans="2:9" x14ac:dyDescent="0.25">
      <c r="B71" s="24" t="str">
        <f>IFERROR(INDEX(Activos!$B$3:$C$11, MATCH(C71,Activos!$B$3:$B$11),2),"")</f>
        <v/>
      </c>
      <c r="C71" s="24"/>
      <c r="D71" s="24"/>
      <c r="E71" s="23"/>
      <c r="F71" t="str">
        <f>IF(E71='Tablas AR'!$B$4,1,IF('Análisis de Riesgos'!E71='Tablas AR'!$B$5,2,IF('Análisis de Riesgos'!E71='Tablas AR'!$B$6,3,"")))</f>
        <v/>
      </c>
      <c r="G71" s="23"/>
      <c r="H71" t="str">
        <f>IF(G71='Tablas AR'!$B$10,1,IF('Análisis de Riesgos'!G71='Tablas AR'!$B$11,2,IF('Análisis de Riesgos'!G71='Tablas AR'!$B$12,3,"")))</f>
        <v/>
      </c>
      <c r="I71" t="str">
        <f t="shared" si="1"/>
        <v/>
      </c>
    </row>
    <row r="72" spans="2:9" x14ac:dyDescent="0.25">
      <c r="B72" s="24" t="str">
        <f>IFERROR(INDEX(Activos!$B$3:$C$11, MATCH(C72,Activos!$B$3:$B$11),2),"")</f>
        <v/>
      </c>
      <c r="C72" s="24"/>
      <c r="D72" s="24"/>
      <c r="E72" s="23"/>
      <c r="F72" t="str">
        <f>IF(E72='Tablas AR'!$B$4,1,IF('Análisis de Riesgos'!E72='Tablas AR'!$B$5,2,IF('Análisis de Riesgos'!E72='Tablas AR'!$B$6,3,"")))</f>
        <v/>
      </c>
      <c r="G72" s="23"/>
      <c r="H72" t="str">
        <f>IF(G72='Tablas AR'!$B$10,1,IF('Análisis de Riesgos'!G72='Tablas AR'!$B$11,2,IF('Análisis de Riesgos'!G72='Tablas AR'!$B$12,3,"")))</f>
        <v/>
      </c>
      <c r="I72" t="str">
        <f t="shared" si="1"/>
        <v/>
      </c>
    </row>
    <row r="73" spans="2:9" x14ac:dyDescent="0.25">
      <c r="B73" s="24" t="str">
        <f>IFERROR(INDEX(Activos!$B$3:$C$11, MATCH(C73,Activos!$B$3:$B$11),2),"")</f>
        <v/>
      </c>
      <c r="C73" s="24"/>
      <c r="D73" s="24"/>
      <c r="E73" s="23"/>
      <c r="F73" t="str">
        <f>IF(E73='Tablas AR'!$B$4,1,IF('Análisis de Riesgos'!E73='Tablas AR'!$B$5,2,IF('Análisis de Riesgos'!E73='Tablas AR'!$B$6,3,"")))</f>
        <v/>
      </c>
      <c r="G73" s="23"/>
      <c r="H73" t="str">
        <f>IF(G73='Tablas AR'!$B$10,1,IF('Análisis de Riesgos'!G73='Tablas AR'!$B$11,2,IF('Análisis de Riesgos'!G73='Tablas AR'!$B$12,3,"")))</f>
        <v/>
      </c>
      <c r="I73" t="str">
        <f t="shared" si="1"/>
        <v/>
      </c>
    </row>
    <row r="74" spans="2:9" x14ac:dyDescent="0.25">
      <c r="B74" s="24" t="str">
        <f>IFERROR(INDEX(Activos!$B$3:$C$11, MATCH(C74,Activos!$B$3:$B$11),2),"")</f>
        <v/>
      </c>
      <c r="C74" s="24"/>
      <c r="D74" s="24"/>
      <c r="E74" s="23"/>
      <c r="F74" t="str">
        <f>IF(E74='Tablas AR'!$B$4,1,IF('Análisis de Riesgos'!E74='Tablas AR'!$B$5,2,IF('Análisis de Riesgos'!E74='Tablas AR'!$B$6,3,"")))</f>
        <v/>
      </c>
      <c r="G74" s="23"/>
      <c r="H74" t="str">
        <f>IF(G74='Tablas AR'!$B$10,1,IF('Análisis de Riesgos'!G74='Tablas AR'!$B$11,2,IF('Análisis de Riesgos'!G74='Tablas AR'!$B$12,3,"")))</f>
        <v/>
      </c>
      <c r="I74" t="str">
        <f t="shared" si="1"/>
        <v/>
      </c>
    </row>
    <row r="75" spans="2:9" x14ac:dyDescent="0.25">
      <c r="B75" s="24" t="str">
        <f>IFERROR(INDEX(Activos!$B$3:$C$11, MATCH(C75,Activos!$B$3:$B$11),2),"")</f>
        <v/>
      </c>
      <c r="C75" s="24"/>
      <c r="D75" s="24"/>
      <c r="E75" s="23"/>
      <c r="F75" t="str">
        <f>IF(E75='Tablas AR'!$B$4,1,IF('Análisis de Riesgos'!E75='Tablas AR'!$B$5,2,IF('Análisis de Riesgos'!E75='Tablas AR'!$B$6,3,"")))</f>
        <v/>
      </c>
      <c r="G75" s="23"/>
      <c r="H75" t="str">
        <f>IF(G75='Tablas AR'!$B$10,1,IF('Análisis de Riesgos'!G75='Tablas AR'!$B$11,2,IF('Análisis de Riesgos'!G75='Tablas AR'!$B$12,3,"")))</f>
        <v/>
      </c>
      <c r="I75" t="str">
        <f t="shared" si="1"/>
        <v/>
      </c>
    </row>
    <row r="76" spans="2:9" x14ac:dyDescent="0.25">
      <c r="B76" s="24" t="str">
        <f>IFERROR(INDEX(Activos!$B$3:$C$11, MATCH(C76,Activos!$B$3:$B$11),2),"")</f>
        <v/>
      </c>
      <c r="C76" s="24"/>
      <c r="D76" s="24"/>
      <c r="E76" s="23"/>
      <c r="F76" t="str">
        <f>IF(E76='Tablas AR'!$B$4,1,IF('Análisis de Riesgos'!E76='Tablas AR'!$B$5,2,IF('Análisis de Riesgos'!E76='Tablas AR'!$B$6,3,"")))</f>
        <v/>
      </c>
      <c r="G76" s="23"/>
      <c r="H76" t="str">
        <f>IF(G76='Tablas AR'!$B$10,1,IF('Análisis de Riesgos'!G76='Tablas AR'!$B$11,2,IF('Análisis de Riesgos'!G76='Tablas AR'!$B$12,3,"")))</f>
        <v/>
      </c>
      <c r="I76" t="str">
        <f t="shared" si="1"/>
        <v/>
      </c>
    </row>
    <row r="77" spans="2:9" x14ac:dyDescent="0.25">
      <c r="B77" s="24" t="str">
        <f>IFERROR(INDEX(Activos!$B$3:$C$11, MATCH(C77,Activos!$B$3:$B$11),2),"")</f>
        <v/>
      </c>
      <c r="C77" s="24"/>
      <c r="D77" s="24"/>
      <c r="E77" s="23"/>
      <c r="F77" t="str">
        <f>IF(E77='Tablas AR'!$B$4,1,IF('Análisis de Riesgos'!E77='Tablas AR'!$B$5,2,IF('Análisis de Riesgos'!E77='Tablas AR'!$B$6,3,"")))</f>
        <v/>
      </c>
      <c r="G77" s="23"/>
      <c r="H77" t="str">
        <f>IF(G77='Tablas AR'!$B$10,1,IF('Análisis de Riesgos'!G77='Tablas AR'!$B$11,2,IF('Análisis de Riesgos'!G77='Tablas AR'!$B$12,3,"")))</f>
        <v/>
      </c>
      <c r="I77" t="str">
        <f t="shared" si="1"/>
        <v/>
      </c>
    </row>
    <row r="78" spans="2:9" x14ac:dyDescent="0.25">
      <c r="B78" s="24" t="str">
        <f>IFERROR(INDEX(Activos!$B$3:$C$11, MATCH(C78,Activos!$B$3:$B$11),2),"")</f>
        <v/>
      </c>
      <c r="C78" s="24"/>
      <c r="D78" s="24"/>
      <c r="E78" s="23"/>
      <c r="F78" t="str">
        <f>IF(E78='Tablas AR'!$B$4,1,IF('Análisis de Riesgos'!E78='Tablas AR'!$B$5,2,IF('Análisis de Riesgos'!E78='Tablas AR'!$B$6,3,"")))</f>
        <v/>
      </c>
      <c r="G78" s="23"/>
      <c r="H78" t="str">
        <f>IF(G78='Tablas AR'!$B$10,1,IF('Análisis de Riesgos'!G78='Tablas AR'!$B$11,2,IF('Análisis de Riesgos'!G78='Tablas AR'!$B$12,3,"")))</f>
        <v/>
      </c>
      <c r="I78" t="str">
        <f t="shared" si="1"/>
        <v/>
      </c>
    </row>
    <row r="79" spans="2:9" x14ac:dyDescent="0.25">
      <c r="B79" s="24" t="str">
        <f>IFERROR(INDEX(Activos!$B$3:$C$11, MATCH(C79,Activos!$B$3:$B$11),2),"")</f>
        <v/>
      </c>
      <c r="C79" s="24"/>
      <c r="D79" s="24"/>
      <c r="E79" s="23"/>
      <c r="F79" t="str">
        <f>IF(E79='Tablas AR'!$B$4,1,IF('Análisis de Riesgos'!E79='Tablas AR'!$B$5,2,IF('Análisis de Riesgos'!E79='Tablas AR'!$B$6,3,"")))</f>
        <v/>
      </c>
      <c r="G79" s="23"/>
      <c r="H79" t="str">
        <f>IF(G79='Tablas AR'!$B$10,1,IF('Análisis de Riesgos'!G79='Tablas AR'!$B$11,2,IF('Análisis de Riesgos'!G79='Tablas AR'!$B$12,3,"")))</f>
        <v/>
      </c>
      <c r="I79" t="str">
        <f t="shared" si="1"/>
        <v/>
      </c>
    </row>
    <row r="80" spans="2:9" x14ac:dyDescent="0.25">
      <c r="B80" s="24" t="str">
        <f>IFERROR(INDEX(Activos!$B$3:$C$11, MATCH(C80,Activos!$B$3:$B$11),2),"")</f>
        <v/>
      </c>
      <c r="C80" s="24"/>
      <c r="D80" s="24"/>
      <c r="E80" s="23"/>
      <c r="F80" t="str">
        <f>IF(E80='Tablas AR'!$B$4,1,IF('Análisis de Riesgos'!E80='Tablas AR'!$B$5,2,IF('Análisis de Riesgos'!E80='Tablas AR'!$B$6,3,"")))</f>
        <v/>
      </c>
      <c r="G80" s="23"/>
      <c r="H80" t="str">
        <f>IF(G80='Tablas AR'!$B$10,1,IF('Análisis de Riesgos'!G80='Tablas AR'!$B$11,2,IF('Análisis de Riesgos'!G80='Tablas AR'!$B$12,3,"")))</f>
        <v/>
      </c>
      <c r="I80" t="str">
        <f t="shared" si="1"/>
        <v/>
      </c>
    </row>
    <row r="81" spans="2:9" x14ac:dyDescent="0.25">
      <c r="B81" s="24" t="str">
        <f>IFERROR(INDEX(Activos!$B$3:$C$11, MATCH(C81,Activos!$B$3:$B$11),2),"")</f>
        <v/>
      </c>
      <c r="C81" s="24"/>
      <c r="D81" s="24"/>
      <c r="E81" s="23"/>
      <c r="F81" t="str">
        <f>IF(E81='Tablas AR'!$B$4,1,IF('Análisis de Riesgos'!E81='Tablas AR'!$B$5,2,IF('Análisis de Riesgos'!E81='Tablas AR'!$B$6,3,"")))</f>
        <v/>
      </c>
      <c r="G81" s="23"/>
      <c r="H81" t="str">
        <f>IF(G81='Tablas AR'!$B$10,1,IF('Análisis de Riesgos'!G81='Tablas AR'!$B$11,2,IF('Análisis de Riesgos'!G81='Tablas AR'!$B$12,3,"")))</f>
        <v/>
      </c>
      <c r="I81" t="str">
        <f t="shared" si="1"/>
        <v/>
      </c>
    </row>
    <row r="82" spans="2:9" x14ac:dyDescent="0.25">
      <c r="B82" s="24" t="str">
        <f>IFERROR(INDEX(Activos!$B$3:$C$11, MATCH(C82,Activos!$B$3:$B$11),2),"")</f>
        <v/>
      </c>
      <c r="C82" s="24"/>
      <c r="D82" s="24"/>
      <c r="E82" s="23"/>
      <c r="F82" t="str">
        <f>IF(E82='Tablas AR'!$B$4,1,IF('Análisis de Riesgos'!E82='Tablas AR'!$B$5,2,IF('Análisis de Riesgos'!E82='Tablas AR'!$B$6,3,"")))</f>
        <v/>
      </c>
      <c r="G82" s="23"/>
      <c r="H82" t="str">
        <f>IF(G82='Tablas AR'!$B$10,1,IF('Análisis de Riesgos'!G82='Tablas AR'!$B$11,2,IF('Análisis de Riesgos'!G82='Tablas AR'!$B$12,3,"")))</f>
        <v/>
      </c>
      <c r="I82" t="str">
        <f t="shared" si="1"/>
        <v/>
      </c>
    </row>
    <row r="83" spans="2:9" x14ac:dyDescent="0.25">
      <c r="B83" s="24" t="str">
        <f>IFERROR(INDEX(Activos!$B$3:$C$11, MATCH(C83,Activos!$B$3:$B$11),2),"")</f>
        <v/>
      </c>
      <c r="C83" s="24"/>
      <c r="D83" s="24"/>
      <c r="E83" s="23"/>
      <c r="F83" t="str">
        <f>IF(E83='Tablas AR'!$B$4,1,IF('Análisis de Riesgos'!E83='Tablas AR'!$B$5,2,IF('Análisis de Riesgos'!E83='Tablas AR'!$B$6,3,"")))</f>
        <v/>
      </c>
      <c r="G83" s="23"/>
      <c r="H83" t="str">
        <f>IF(G83='Tablas AR'!$B$10,1,IF('Análisis de Riesgos'!G83='Tablas AR'!$B$11,2,IF('Análisis de Riesgos'!G83='Tablas AR'!$B$12,3,"")))</f>
        <v/>
      </c>
      <c r="I83" t="str">
        <f t="shared" si="1"/>
        <v/>
      </c>
    </row>
    <row r="84" spans="2:9" x14ac:dyDescent="0.25">
      <c r="B84" s="24" t="str">
        <f>IFERROR(INDEX(Activos!$B$3:$C$11, MATCH(C84,Activos!$B$3:$B$11),2),"")</f>
        <v/>
      </c>
      <c r="C84" s="24"/>
      <c r="D84" s="24"/>
      <c r="E84" s="23"/>
      <c r="F84" t="str">
        <f>IF(E84='Tablas AR'!$B$4,1,IF('Análisis de Riesgos'!E84='Tablas AR'!$B$5,2,IF('Análisis de Riesgos'!E84='Tablas AR'!$B$6,3,"")))</f>
        <v/>
      </c>
      <c r="G84" s="23"/>
      <c r="H84" t="str">
        <f>IF(G84='Tablas AR'!$B$10,1,IF('Análisis de Riesgos'!G84='Tablas AR'!$B$11,2,IF('Análisis de Riesgos'!G84='Tablas AR'!$B$12,3,"")))</f>
        <v/>
      </c>
      <c r="I84" t="str">
        <f t="shared" si="1"/>
        <v/>
      </c>
    </row>
    <row r="85" spans="2:9" x14ac:dyDescent="0.25">
      <c r="B85" s="24" t="str">
        <f>IFERROR(INDEX(Activos!$B$3:$C$11, MATCH(C85,Activos!$B$3:$B$11),2),"")</f>
        <v/>
      </c>
      <c r="C85" s="24"/>
      <c r="D85" s="24"/>
      <c r="E85" s="23"/>
      <c r="F85" t="str">
        <f>IF(E85='Tablas AR'!$B$4,1,IF('Análisis de Riesgos'!E85='Tablas AR'!$B$5,2,IF('Análisis de Riesgos'!E85='Tablas AR'!$B$6,3,"")))</f>
        <v/>
      </c>
      <c r="G85" s="23"/>
      <c r="H85" t="str">
        <f>IF(G85='Tablas AR'!$B$10,1,IF('Análisis de Riesgos'!G85='Tablas AR'!$B$11,2,IF('Análisis de Riesgos'!G85='Tablas AR'!$B$12,3,"")))</f>
        <v/>
      </c>
      <c r="I85" t="str">
        <f t="shared" si="1"/>
        <v/>
      </c>
    </row>
    <row r="86" spans="2:9" x14ac:dyDescent="0.25">
      <c r="B86" s="24" t="str">
        <f>IFERROR(INDEX(Activos!$B$3:$C$11, MATCH(C86,Activos!$B$3:$B$11),2),"")</f>
        <v/>
      </c>
      <c r="C86" s="24"/>
      <c r="D86" s="24"/>
      <c r="E86" s="23"/>
      <c r="F86" t="str">
        <f>IF(E86='Tablas AR'!$B$4,1,IF('Análisis de Riesgos'!E86='Tablas AR'!$B$5,2,IF('Análisis de Riesgos'!E86='Tablas AR'!$B$6,3,"")))</f>
        <v/>
      </c>
      <c r="G86" s="23"/>
      <c r="H86" t="str">
        <f>IF(G86='Tablas AR'!$B$10,1,IF('Análisis de Riesgos'!G86='Tablas AR'!$B$11,2,IF('Análisis de Riesgos'!G86='Tablas AR'!$B$12,3,"")))</f>
        <v/>
      </c>
      <c r="I86" t="str">
        <f t="shared" si="1"/>
        <v/>
      </c>
    </row>
    <row r="87" spans="2:9" x14ac:dyDescent="0.25">
      <c r="B87" s="24" t="str">
        <f>IFERROR(INDEX(Activos!$B$3:$C$11, MATCH(C87,Activos!$B$3:$B$11),2),"")</f>
        <v/>
      </c>
      <c r="C87" s="24"/>
      <c r="D87" s="24"/>
      <c r="E87" s="23"/>
      <c r="F87" t="str">
        <f>IF(E87='Tablas AR'!$B$4,1,IF('Análisis de Riesgos'!E87='Tablas AR'!$B$5,2,IF('Análisis de Riesgos'!E87='Tablas AR'!$B$6,3,"")))</f>
        <v/>
      </c>
      <c r="G87" s="23"/>
      <c r="H87" t="str">
        <f>IF(G87='Tablas AR'!$B$10,1,IF('Análisis de Riesgos'!G87='Tablas AR'!$B$11,2,IF('Análisis de Riesgos'!G87='Tablas AR'!$B$12,3,"")))</f>
        <v/>
      </c>
      <c r="I87" t="str">
        <f t="shared" si="1"/>
        <v/>
      </c>
    </row>
    <row r="88" spans="2:9" x14ac:dyDescent="0.25">
      <c r="B88" s="24" t="str">
        <f>IFERROR(INDEX(Activos!$B$3:$C$11, MATCH(C88,Activos!$B$3:$B$11),2),"")</f>
        <v/>
      </c>
      <c r="C88" s="24"/>
      <c r="D88" s="24"/>
      <c r="E88" s="23"/>
      <c r="F88" t="str">
        <f>IF(E88='Tablas AR'!$B$4,1,IF('Análisis de Riesgos'!E88='Tablas AR'!$B$5,2,IF('Análisis de Riesgos'!E88='Tablas AR'!$B$6,3,"")))</f>
        <v/>
      </c>
      <c r="G88" s="23"/>
      <c r="H88" t="str">
        <f>IF(G88='Tablas AR'!$B$10,1,IF('Análisis de Riesgos'!G88='Tablas AR'!$B$11,2,IF('Análisis de Riesgos'!G88='Tablas AR'!$B$12,3,"")))</f>
        <v/>
      </c>
      <c r="I88" t="str">
        <f t="shared" si="1"/>
        <v/>
      </c>
    </row>
    <row r="89" spans="2:9" x14ac:dyDescent="0.25">
      <c r="B89" s="24" t="str">
        <f>IFERROR(INDEX(Activos!$B$3:$C$11, MATCH(C89,Activos!$B$3:$B$11),2),"")</f>
        <v/>
      </c>
      <c r="C89" s="24"/>
      <c r="D89" s="24"/>
      <c r="E89" s="23"/>
      <c r="F89" t="str">
        <f>IF(E89='Tablas AR'!$B$4,1,IF('Análisis de Riesgos'!E89='Tablas AR'!$B$5,2,IF('Análisis de Riesgos'!E89='Tablas AR'!$B$6,3,"")))</f>
        <v/>
      </c>
      <c r="G89" s="23"/>
      <c r="H89" t="str">
        <f>IF(G89='Tablas AR'!$B$10,1,IF('Análisis de Riesgos'!G89='Tablas AR'!$B$11,2,IF('Análisis de Riesgos'!G89='Tablas AR'!$B$12,3,"")))</f>
        <v/>
      </c>
      <c r="I89" t="str">
        <f t="shared" si="1"/>
        <v/>
      </c>
    </row>
    <row r="90" spans="2:9" x14ac:dyDescent="0.25">
      <c r="B90" s="24" t="str">
        <f>IFERROR(INDEX(Activos!$B$3:$C$11, MATCH(C90,Activos!$B$3:$B$11),2),"")</f>
        <v/>
      </c>
      <c r="C90" s="24"/>
      <c r="D90" s="24"/>
      <c r="E90" s="23"/>
      <c r="F90" t="str">
        <f>IF(E90='Tablas AR'!$B$4,1,IF('Análisis de Riesgos'!E90='Tablas AR'!$B$5,2,IF('Análisis de Riesgos'!E90='Tablas AR'!$B$6,3,"")))</f>
        <v/>
      </c>
      <c r="G90" s="23"/>
      <c r="H90" t="str">
        <f>IF(G90='Tablas AR'!$B$10,1,IF('Análisis de Riesgos'!G90='Tablas AR'!$B$11,2,IF('Análisis de Riesgos'!G90='Tablas AR'!$B$12,3,"")))</f>
        <v/>
      </c>
      <c r="I90" t="str">
        <f t="shared" si="1"/>
        <v/>
      </c>
    </row>
    <row r="91" spans="2:9" x14ac:dyDescent="0.25">
      <c r="B91" s="24" t="str">
        <f>IFERROR(INDEX(Activos!$B$3:$C$11, MATCH(C91,Activos!$B$3:$B$11),2),"")</f>
        <v/>
      </c>
      <c r="C91" s="24"/>
      <c r="D91" s="24"/>
      <c r="E91" s="23"/>
      <c r="F91" t="str">
        <f>IF(E91='Tablas AR'!$B$4,1,IF('Análisis de Riesgos'!E91='Tablas AR'!$B$5,2,IF('Análisis de Riesgos'!E91='Tablas AR'!$B$6,3,"")))</f>
        <v/>
      </c>
      <c r="G91" s="23"/>
      <c r="H91" t="str">
        <f>IF(G91='Tablas AR'!$B$10,1,IF('Análisis de Riesgos'!G91='Tablas AR'!$B$11,2,IF('Análisis de Riesgos'!G91='Tablas AR'!$B$12,3,"")))</f>
        <v/>
      </c>
      <c r="I91" t="str">
        <f t="shared" si="1"/>
        <v/>
      </c>
    </row>
    <row r="92" spans="2:9" x14ac:dyDescent="0.25">
      <c r="B92" s="24" t="str">
        <f>IFERROR(INDEX(Activos!$B$3:$C$11, MATCH(C92,Activos!$B$3:$B$11),2),"")</f>
        <v/>
      </c>
      <c r="C92" s="24"/>
      <c r="D92" s="24"/>
      <c r="E92" s="23"/>
      <c r="F92" t="str">
        <f>IF(E92='Tablas AR'!$B$4,1,IF('Análisis de Riesgos'!E92='Tablas AR'!$B$5,2,IF('Análisis de Riesgos'!E92='Tablas AR'!$B$6,3,"")))</f>
        <v/>
      </c>
      <c r="G92" s="23"/>
      <c r="H92" t="str">
        <f>IF(G92='Tablas AR'!$B$10,1,IF('Análisis de Riesgos'!G92='Tablas AR'!$B$11,2,IF('Análisis de Riesgos'!G92='Tablas AR'!$B$12,3,"")))</f>
        <v/>
      </c>
      <c r="I92" t="str">
        <f t="shared" si="1"/>
        <v/>
      </c>
    </row>
    <row r="93" spans="2:9" x14ac:dyDescent="0.25">
      <c r="B93" s="24" t="str">
        <f>IFERROR(INDEX(Activos!$B$3:$C$11, MATCH(C93,Activos!$B$3:$B$11),2),"")</f>
        <v/>
      </c>
      <c r="C93" s="24"/>
      <c r="D93" s="24"/>
      <c r="E93" s="23"/>
      <c r="F93" t="str">
        <f>IF(E93='Tablas AR'!$B$4,1,IF('Análisis de Riesgos'!E93='Tablas AR'!$B$5,2,IF('Análisis de Riesgos'!E93='Tablas AR'!$B$6,3,"")))</f>
        <v/>
      </c>
      <c r="G93" s="23"/>
      <c r="H93" t="str">
        <f>IF(G93='Tablas AR'!$B$10,1,IF('Análisis de Riesgos'!G93='Tablas AR'!$B$11,2,IF('Análisis de Riesgos'!G93='Tablas AR'!$B$12,3,"")))</f>
        <v/>
      </c>
      <c r="I93" t="str">
        <f t="shared" si="1"/>
        <v/>
      </c>
    </row>
    <row r="94" spans="2:9" x14ac:dyDescent="0.25">
      <c r="B94" s="24" t="str">
        <f>IFERROR(INDEX(Activos!$B$3:$C$11, MATCH(C94,Activos!$B$3:$B$11),2),"")</f>
        <v/>
      </c>
      <c r="C94" s="24"/>
      <c r="D94" s="24"/>
      <c r="E94" s="23"/>
      <c r="F94" t="str">
        <f>IF(E94='Tablas AR'!$B$4,1,IF('Análisis de Riesgos'!E94='Tablas AR'!$B$5,2,IF('Análisis de Riesgos'!E94='Tablas AR'!$B$6,3,"")))</f>
        <v/>
      </c>
      <c r="G94" s="23"/>
      <c r="H94" t="str">
        <f>IF(G94='Tablas AR'!$B$10,1,IF('Análisis de Riesgos'!G94='Tablas AR'!$B$11,2,IF('Análisis de Riesgos'!G94='Tablas AR'!$B$12,3,"")))</f>
        <v/>
      </c>
      <c r="I94" t="str">
        <f t="shared" si="1"/>
        <v/>
      </c>
    </row>
    <row r="95" spans="2:9" x14ac:dyDescent="0.25">
      <c r="B95" s="24" t="str">
        <f>IFERROR(INDEX(Activos!$B$3:$C$11, MATCH(C95,Activos!$B$3:$B$11),2),"")</f>
        <v/>
      </c>
      <c r="C95" s="24"/>
      <c r="D95" s="24"/>
      <c r="E95" s="23"/>
      <c r="F95" t="str">
        <f>IF(E95='Tablas AR'!$B$4,1,IF('Análisis de Riesgos'!E95='Tablas AR'!$B$5,2,IF('Análisis de Riesgos'!E95='Tablas AR'!$B$6,3,"")))</f>
        <v/>
      </c>
      <c r="G95" s="23"/>
      <c r="H95" t="str">
        <f>IF(G95='Tablas AR'!$B$10,1,IF('Análisis de Riesgos'!G95='Tablas AR'!$B$11,2,IF('Análisis de Riesgos'!G95='Tablas AR'!$B$12,3,"")))</f>
        <v/>
      </c>
      <c r="I95" t="str">
        <f t="shared" si="1"/>
        <v/>
      </c>
    </row>
    <row r="96" spans="2:9" x14ac:dyDescent="0.25">
      <c r="B96" s="24" t="str">
        <f>IFERROR(INDEX(Activos!$B$3:$C$11, MATCH(C96,Activos!$B$3:$B$11),2),"")</f>
        <v/>
      </c>
      <c r="C96" s="24"/>
      <c r="D96" s="24"/>
      <c r="E96" s="23"/>
      <c r="F96" t="str">
        <f>IF(E96='Tablas AR'!$B$4,1,IF('Análisis de Riesgos'!E96='Tablas AR'!$B$5,2,IF('Análisis de Riesgos'!E96='Tablas AR'!$B$6,3,"")))</f>
        <v/>
      </c>
      <c r="G96" s="23"/>
      <c r="H96" t="str">
        <f>IF(G96='Tablas AR'!$B$10,1,IF('Análisis de Riesgos'!G96='Tablas AR'!$B$11,2,IF('Análisis de Riesgos'!G96='Tablas AR'!$B$12,3,"")))</f>
        <v/>
      </c>
      <c r="I96" t="str">
        <f t="shared" si="1"/>
        <v/>
      </c>
    </row>
    <row r="97" spans="2:9" x14ac:dyDescent="0.25">
      <c r="B97" s="24" t="str">
        <f>IFERROR(INDEX(Activos!$B$3:$C$11, MATCH(C97,Activos!$B$3:$B$11),2),"")</f>
        <v/>
      </c>
      <c r="C97" s="24"/>
      <c r="D97" s="24"/>
      <c r="E97" s="23"/>
      <c r="F97" t="str">
        <f>IF(E97='Tablas AR'!$B$4,1,IF('Análisis de Riesgos'!E97='Tablas AR'!$B$5,2,IF('Análisis de Riesgos'!E97='Tablas AR'!$B$6,3,"")))</f>
        <v/>
      </c>
      <c r="G97" s="23"/>
      <c r="H97" t="str">
        <f>IF(G97='Tablas AR'!$B$10,1,IF('Análisis de Riesgos'!G97='Tablas AR'!$B$11,2,IF('Análisis de Riesgos'!G97='Tablas AR'!$B$12,3,"")))</f>
        <v/>
      </c>
      <c r="I97" t="str">
        <f t="shared" si="1"/>
        <v/>
      </c>
    </row>
    <row r="98" spans="2:9" x14ac:dyDescent="0.25">
      <c r="B98" s="24" t="str">
        <f>IFERROR(INDEX(Activos!$B$3:$C$11, MATCH(C98,Activos!$B$3:$B$11),2),"")</f>
        <v/>
      </c>
      <c r="C98" s="24"/>
      <c r="D98" s="24"/>
      <c r="E98" s="23"/>
      <c r="F98" t="str">
        <f>IF(E98='Tablas AR'!$B$4,1,IF('Análisis de Riesgos'!E98='Tablas AR'!$B$5,2,IF('Análisis de Riesgos'!E98='Tablas AR'!$B$6,3,"")))</f>
        <v/>
      </c>
      <c r="G98" s="23"/>
      <c r="H98" t="str">
        <f>IF(G98='Tablas AR'!$B$10,1,IF('Análisis de Riesgos'!G98='Tablas AR'!$B$11,2,IF('Análisis de Riesgos'!G98='Tablas AR'!$B$12,3,"")))</f>
        <v/>
      </c>
      <c r="I98" t="str">
        <f t="shared" si="1"/>
        <v/>
      </c>
    </row>
    <row r="99" spans="2:9" x14ac:dyDescent="0.25">
      <c r="B99" s="24" t="str">
        <f>IFERROR(INDEX(Activos!$B$3:$C$11, MATCH(C99,Activos!$B$3:$B$11),2),"")</f>
        <v/>
      </c>
      <c r="C99" s="24"/>
      <c r="D99" s="24"/>
      <c r="E99" s="23"/>
      <c r="F99" t="str">
        <f>IF(E99='Tablas AR'!$B$4,1,IF('Análisis de Riesgos'!E99='Tablas AR'!$B$5,2,IF('Análisis de Riesgos'!E99='Tablas AR'!$B$6,3,"")))</f>
        <v/>
      </c>
      <c r="G99" s="23"/>
      <c r="H99" t="str">
        <f>IF(G99='Tablas AR'!$B$10,1,IF('Análisis de Riesgos'!G99='Tablas AR'!$B$11,2,IF('Análisis de Riesgos'!G99='Tablas AR'!$B$12,3,"")))</f>
        <v/>
      </c>
      <c r="I99" t="str">
        <f t="shared" si="1"/>
        <v/>
      </c>
    </row>
    <row r="100" spans="2:9" x14ac:dyDescent="0.25">
      <c r="B100" s="24" t="str">
        <f>IFERROR(INDEX(Activos!$B$3:$C$11, MATCH(C100,Activos!$B$3:$B$11),2),"")</f>
        <v/>
      </c>
      <c r="C100" s="24"/>
      <c r="D100" s="24"/>
      <c r="E100" s="23"/>
      <c r="F100" t="str">
        <f>IF(E100='Tablas AR'!$B$4,1,IF('Análisis de Riesgos'!E100='Tablas AR'!$B$5,2,IF('Análisis de Riesgos'!E100='Tablas AR'!$B$6,3,"")))</f>
        <v/>
      </c>
      <c r="G100" s="23"/>
      <c r="H100" t="str">
        <f>IF(G100='Tablas AR'!$B$10,1,IF('Análisis de Riesgos'!G100='Tablas AR'!$B$11,2,IF('Análisis de Riesgos'!G100='Tablas AR'!$B$12,3,"")))</f>
        <v/>
      </c>
      <c r="I100" t="str">
        <f t="shared" si="1"/>
        <v/>
      </c>
    </row>
    <row r="101" spans="2:9" x14ac:dyDescent="0.25">
      <c r="B101" s="24" t="str">
        <f>IFERROR(INDEX(Activos!$B$3:$C$11, MATCH(C101,Activos!$B$3:$B$11),2),"")</f>
        <v/>
      </c>
      <c r="C101" s="24"/>
      <c r="D101" s="24"/>
      <c r="E101" s="23"/>
      <c r="F101" t="str">
        <f>IF(E101='Tablas AR'!$B$4,1,IF('Análisis de Riesgos'!E101='Tablas AR'!$B$5,2,IF('Análisis de Riesgos'!E101='Tablas AR'!$B$6,3,"")))</f>
        <v/>
      </c>
      <c r="G101" s="23"/>
      <c r="H101" t="str">
        <f>IF(G101='Tablas AR'!$B$10,1,IF('Análisis de Riesgos'!G101='Tablas AR'!$B$11,2,IF('Análisis de Riesgos'!G101='Tablas AR'!$B$12,3,"")))</f>
        <v/>
      </c>
      <c r="I101" t="str">
        <f t="shared" si="1"/>
        <v/>
      </c>
    </row>
    <row r="102" spans="2:9" x14ac:dyDescent="0.25">
      <c r="B102" s="24" t="str">
        <f>IFERROR(INDEX(Activos!$B$3:$C$11, MATCH(C102,Activos!$B$3:$B$11),2),"")</f>
        <v/>
      </c>
      <c r="C102" s="24"/>
      <c r="D102" s="24"/>
      <c r="E102" s="23"/>
      <c r="F102" t="str">
        <f>IF(E102='Tablas AR'!$B$4,1,IF('Análisis de Riesgos'!E102='Tablas AR'!$B$5,2,IF('Análisis de Riesgos'!E102='Tablas AR'!$B$6,3,"")))</f>
        <v/>
      </c>
      <c r="G102" s="23"/>
      <c r="H102" t="str">
        <f>IF(G102='Tablas AR'!$B$10,1,IF('Análisis de Riesgos'!G102='Tablas AR'!$B$11,2,IF('Análisis de Riesgos'!G102='Tablas AR'!$B$12,3,"")))</f>
        <v/>
      </c>
      <c r="I102" t="str">
        <f t="shared" si="1"/>
        <v/>
      </c>
    </row>
    <row r="103" spans="2:9" x14ac:dyDescent="0.25">
      <c r="B103" s="24" t="str">
        <f>IFERROR(INDEX(Activos!$B$3:$C$11, MATCH(C103,Activos!$B$3:$B$11),2),"")</f>
        <v/>
      </c>
      <c r="C103" s="24"/>
      <c r="D103" s="24"/>
      <c r="E103" s="23"/>
      <c r="F103" t="str">
        <f>IF(E103='Tablas AR'!$B$4,1,IF('Análisis de Riesgos'!E103='Tablas AR'!$B$5,2,IF('Análisis de Riesgos'!E103='Tablas AR'!$B$6,3,"")))</f>
        <v/>
      </c>
      <c r="G103" s="23"/>
      <c r="H103" t="str">
        <f>IF(G103='Tablas AR'!$B$10,1,IF('Análisis de Riesgos'!G103='Tablas AR'!$B$11,2,IF('Análisis de Riesgos'!G103='Tablas AR'!$B$12,3,"")))</f>
        <v/>
      </c>
      <c r="I103" t="str">
        <f t="shared" si="1"/>
        <v/>
      </c>
    </row>
    <row r="104" spans="2:9" x14ac:dyDescent="0.25">
      <c r="B104" s="24" t="str">
        <f>IFERROR(INDEX(Activos!$B$3:$C$11, MATCH(C104,Activos!$B$3:$B$11),2),"")</f>
        <v/>
      </c>
      <c r="C104" s="24"/>
      <c r="D104" s="24"/>
      <c r="E104" s="23"/>
      <c r="F104" t="str">
        <f>IF(E104='Tablas AR'!$B$4,1,IF('Análisis de Riesgos'!E104='Tablas AR'!$B$5,2,IF('Análisis de Riesgos'!E104='Tablas AR'!$B$6,3,"")))</f>
        <v/>
      </c>
      <c r="G104" s="23"/>
      <c r="H104" t="str">
        <f>IF(G104='Tablas AR'!$B$10,1,IF('Análisis de Riesgos'!G104='Tablas AR'!$B$11,2,IF('Análisis de Riesgos'!G104='Tablas AR'!$B$12,3,"")))</f>
        <v/>
      </c>
      <c r="I104" t="str">
        <f t="shared" si="1"/>
        <v/>
      </c>
    </row>
    <row r="105" spans="2:9" x14ac:dyDescent="0.25">
      <c r="B105" s="24" t="str">
        <f>IFERROR(INDEX(Activos!$B$3:$C$11, MATCH(C105,Activos!$B$3:$B$11),2),"")</f>
        <v/>
      </c>
      <c r="C105" s="24"/>
      <c r="D105" s="24"/>
      <c r="E105" s="23"/>
      <c r="F105" t="str">
        <f>IF(E105='Tablas AR'!$B$4,1,IF('Análisis de Riesgos'!E105='Tablas AR'!$B$5,2,IF('Análisis de Riesgos'!E105='Tablas AR'!$B$6,3,"")))</f>
        <v/>
      </c>
      <c r="G105" s="23"/>
      <c r="H105" t="str">
        <f>IF(G105='Tablas AR'!$B$10,1,IF('Análisis de Riesgos'!G105='Tablas AR'!$B$11,2,IF('Análisis de Riesgos'!G105='Tablas AR'!$B$12,3,"")))</f>
        <v/>
      </c>
      <c r="I105" t="str">
        <f t="shared" si="1"/>
        <v/>
      </c>
    </row>
    <row r="106" spans="2:9" x14ac:dyDescent="0.25">
      <c r="B106" s="24" t="str">
        <f>IFERROR(INDEX(Activos!$B$3:$C$11, MATCH(C106,Activos!$B$3:$B$11),2),"")</f>
        <v/>
      </c>
      <c r="C106" s="24"/>
      <c r="D106" s="24"/>
      <c r="E106" s="23"/>
      <c r="F106" t="str">
        <f>IF(E106='Tablas AR'!$B$4,1,IF('Análisis de Riesgos'!E106='Tablas AR'!$B$5,2,IF('Análisis de Riesgos'!E106='Tablas AR'!$B$6,3,"")))</f>
        <v/>
      </c>
      <c r="G106" s="23"/>
      <c r="H106" t="str">
        <f>IF(G106='Tablas AR'!$B$10,1,IF('Análisis de Riesgos'!G106='Tablas AR'!$B$11,2,IF('Análisis de Riesgos'!G106='Tablas AR'!$B$12,3,"")))</f>
        <v/>
      </c>
      <c r="I106" t="str">
        <f t="shared" si="1"/>
        <v/>
      </c>
    </row>
    <row r="107" spans="2:9" x14ac:dyDescent="0.25">
      <c r="B107" s="24" t="str">
        <f>IFERROR(INDEX(Activos!$B$3:$C$11, MATCH(C107,Activos!$B$3:$B$11),2),"")</f>
        <v/>
      </c>
      <c r="C107" s="24"/>
      <c r="D107" s="24"/>
      <c r="E107" s="23"/>
      <c r="F107" t="str">
        <f>IF(E107='Tablas AR'!$B$4,1,IF('Análisis de Riesgos'!E107='Tablas AR'!$B$5,2,IF('Análisis de Riesgos'!E107='Tablas AR'!$B$6,3,"")))</f>
        <v/>
      </c>
      <c r="G107" s="23"/>
      <c r="H107" t="str">
        <f>IF(G107='Tablas AR'!$B$10,1,IF('Análisis de Riesgos'!G107='Tablas AR'!$B$11,2,IF('Análisis de Riesgos'!G107='Tablas AR'!$B$12,3,"")))</f>
        <v/>
      </c>
      <c r="I107" t="str">
        <f t="shared" si="1"/>
        <v/>
      </c>
    </row>
    <row r="108" spans="2:9" x14ac:dyDescent="0.25">
      <c r="B108" s="24" t="str">
        <f>IFERROR(INDEX(Activos!$B$3:$C$11, MATCH(C108,Activos!$B$3:$B$11),2),"")</f>
        <v/>
      </c>
      <c r="C108" s="24"/>
      <c r="D108" s="24"/>
      <c r="E108" s="23"/>
      <c r="F108" t="str">
        <f>IF(E108='Tablas AR'!$B$4,1,IF('Análisis de Riesgos'!E108='Tablas AR'!$B$5,2,IF('Análisis de Riesgos'!E108='Tablas AR'!$B$6,3,"")))</f>
        <v/>
      </c>
      <c r="G108" s="23"/>
      <c r="H108" t="str">
        <f>IF(G108='Tablas AR'!$B$10,1,IF('Análisis de Riesgos'!G108='Tablas AR'!$B$11,2,IF('Análisis de Riesgos'!G108='Tablas AR'!$B$12,3,"")))</f>
        <v/>
      </c>
      <c r="I108" t="str">
        <f t="shared" si="1"/>
        <v/>
      </c>
    </row>
    <row r="109" spans="2:9" x14ac:dyDescent="0.25">
      <c r="B109" s="24" t="str">
        <f>IFERROR(INDEX(Activos!$B$3:$C$11, MATCH(C109,Activos!$B$3:$B$11),2),"")</f>
        <v/>
      </c>
      <c r="C109" s="24"/>
      <c r="D109" s="24"/>
      <c r="E109" s="23"/>
      <c r="F109" t="str">
        <f>IF(E109='Tablas AR'!$B$4,1,IF('Análisis de Riesgos'!E109='Tablas AR'!$B$5,2,IF('Análisis de Riesgos'!E109='Tablas AR'!$B$6,3,"")))</f>
        <v/>
      </c>
      <c r="G109" s="23"/>
      <c r="H109" t="str">
        <f>IF(G109='Tablas AR'!$B$10,1,IF('Análisis de Riesgos'!G109='Tablas AR'!$B$11,2,IF('Análisis de Riesgos'!G109='Tablas AR'!$B$12,3,"")))</f>
        <v/>
      </c>
      <c r="I109" t="str">
        <f t="shared" si="1"/>
        <v/>
      </c>
    </row>
    <row r="110" spans="2:9" x14ac:dyDescent="0.25">
      <c r="B110" s="24" t="str">
        <f>IFERROR(INDEX(Activos!$B$3:$C$11, MATCH(C110,Activos!$B$3:$B$11),2),"")</f>
        <v/>
      </c>
      <c r="C110" s="24"/>
      <c r="D110" s="24"/>
      <c r="E110" s="23"/>
      <c r="F110" t="str">
        <f>IF(E110='Tablas AR'!$B$4,1,IF('Análisis de Riesgos'!E110='Tablas AR'!$B$5,2,IF('Análisis de Riesgos'!E110='Tablas AR'!$B$6,3,"")))</f>
        <v/>
      </c>
      <c r="G110" s="23"/>
      <c r="H110" t="str">
        <f>IF(G110='Tablas AR'!$B$10,1,IF('Análisis de Riesgos'!G110='Tablas AR'!$B$11,2,IF('Análisis de Riesgos'!G110='Tablas AR'!$B$12,3,"")))</f>
        <v/>
      </c>
      <c r="I110" t="str">
        <f t="shared" si="1"/>
        <v/>
      </c>
    </row>
    <row r="111" spans="2:9" x14ac:dyDescent="0.25">
      <c r="B111" s="24" t="str">
        <f>IFERROR(INDEX(Activos!$B$3:$C$11, MATCH(C111,Activos!$B$3:$B$11),2),"")</f>
        <v/>
      </c>
      <c r="C111" s="24"/>
      <c r="D111" s="24"/>
      <c r="E111" s="23"/>
      <c r="F111" t="str">
        <f>IF(E111='Tablas AR'!$B$4,1,IF('Análisis de Riesgos'!E111='Tablas AR'!$B$5,2,IF('Análisis de Riesgos'!E111='Tablas AR'!$B$6,3,"")))</f>
        <v/>
      </c>
      <c r="G111" s="23"/>
      <c r="H111" t="str">
        <f>IF(G111='Tablas AR'!$B$10,1,IF('Análisis de Riesgos'!G111='Tablas AR'!$B$11,2,IF('Análisis de Riesgos'!G111='Tablas AR'!$B$12,3,"")))</f>
        <v/>
      </c>
      <c r="I111" t="str">
        <f t="shared" si="1"/>
        <v/>
      </c>
    </row>
    <row r="112" spans="2:9" x14ac:dyDescent="0.25">
      <c r="B112" s="24" t="str">
        <f>IFERROR(INDEX(Activos!$B$3:$C$11, MATCH(C112,Activos!$B$3:$B$11),2),"")</f>
        <v/>
      </c>
      <c r="C112" s="24"/>
      <c r="D112" s="24"/>
      <c r="E112" s="23"/>
      <c r="F112" t="str">
        <f>IF(E112='Tablas AR'!$B$4,1,IF('Análisis de Riesgos'!E112='Tablas AR'!$B$5,2,IF('Análisis de Riesgos'!E112='Tablas AR'!$B$6,3,"")))</f>
        <v/>
      </c>
      <c r="G112" s="23"/>
      <c r="H112" t="str">
        <f>IF(G112='Tablas AR'!$B$10,1,IF('Análisis de Riesgos'!G112='Tablas AR'!$B$11,2,IF('Análisis de Riesgos'!G112='Tablas AR'!$B$12,3,"")))</f>
        <v/>
      </c>
      <c r="I112" t="str">
        <f t="shared" si="1"/>
        <v/>
      </c>
    </row>
    <row r="113" spans="2:9" x14ac:dyDescent="0.25">
      <c r="B113" s="24" t="str">
        <f>IFERROR(INDEX(Activos!$B$3:$C$11, MATCH(C113,Activos!$B$3:$B$11),2),"")</f>
        <v/>
      </c>
      <c r="C113" s="24"/>
      <c r="D113" s="24"/>
      <c r="E113" s="23"/>
      <c r="F113" t="str">
        <f>IF(E113='Tablas AR'!$B$4,1,IF('Análisis de Riesgos'!E113='Tablas AR'!$B$5,2,IF('Análisis de Riesgos'!E113='Tablas AR'!$B$6,3,"")))</f>
        <v/>
      </c>
      <c r="G113" s="23"/>
      <c r="H113" t="str">
        <f>IF(G113='Tablas AR'!$B$10,1,IF('Análisis de Riesgos'!G113='Tablas AR'!$B$11,2,IF('Análisis de Riesgos'!G113='Tablas AR'!$B$12,3,"")))</f>
        <v/>
      </c>
      <c r="I113" t="str">
        <f t="shared" si="1"/>
        <v/>
      </c>
    </row>
    <row r="114" spans="2:9" x14ac:dyDescent="0.25">
      <c r="B114" s="24" t="str">
        <f>IFERROR(INDEX(Activos!$B$3:$C$11, MATCH(C114,Activos!$B$3:$B$11),2),"")</f>
        <v/>
      </c>
      <c r="C114" s="24"/>
      <c r="D114" s="24"/>
      <c r="E114" s="23"/>
      <c r="F114" t="str">
        <f>IF(E114='Tablas AR'!$B$4,1,IF('Análisis de Riesgos'!E114='Tablas AR'!$B$5,2,IF('Análisis de Riesgos'!E114='Tablas AR'!$B$6,3,"")))</f>
        <v/>
      </c>
      <c r="G114" s="23"/>
      <c r="H114" t="str">
        <f>IF(G114='Tablas AR'!$B$10,1,IF('Análisis de Riesgos'!G114='Tablas AR'!$B$11,2,IF('Análisis de Riesgos'!G114='Tablas AR'!$B$12,3,"")))</f>
        <v/>
      </c>
      <c r="I114" t="str">
        <f t="shared" si="1"/>
        <v/>
      </c>
    </row>
    <row r="115" spans="2:9" x14ac:dyDescent="0.25">
      <c r="B115" s="24" t="str">
        <f>IFERROR(INDEX(Activos!$B$3:$C$11, MATCH(C115,Activos!$B$3:$B$11),2),"")</f>
        <v/>
      </c>
      <c r="C115" s="24"/>
      <c r="D115" s="24"/>
      <c r="E115" s="23"/>
      <c r="F115" t="str">
        <f>IF(E115='Tablas AR'!$B$4,1,IF('Análisis de Riesgos'!E115='Tablas AR'!$B$5,2,IF('Análisis de Riesgos'!E115='Tablas AR'!$B$6,3,"")))</f>
        <v/>
      </c>
      <c r="G115" s="23"/>
      <c r="H115" t="str">
        <f>IF(G115='Tablas AR'!$B$10,1,IF('Análisis de Riesgos'!G115='Tablas AR'!$B$11,2,IF('Análisis de Riesgos'!G115='Tablas AR'!$B$12,3,"")))</f>
        <v/>
      </c>
      <c r="I115" t="str">
        <f t="shared" si="1"/>
        <v/>
      </c>
    </row>
    <row r="116" spans="2:9" x14ac:dyDescent="0.25">
      <c r="B116" s="24" t="str">
        <f>IFERROR(INDEX(Activos!$B$3:$C$11, MATCH(C116,Activos!$B$3:$B$11),2),"")</f>
        <v/>
      </c>
      <c r="C116" s="24"/>
      <c r="D116" s="24"/>
      <c r="E116" s="23"/>
      <c r="F116" t="str">
        <f>IF(E116='Tablas AR'!$B$4,1,IF('Análisis de Riesgos'!E116='Tablas AR'!$B$5,2,IF('Análisis de Riesgos'!E116='Tablas AR'!$B$6,3,"")))</f>
        <v/>
      </c>
      <c r="G116" s="23"/>
      <c r="H116" t="str">
        <f>IF(G116='Tablas AR'!$B$10,1,IF('Análisis de Riesgos'!G116='Tablas AR'!$B$11,2,IF('Análisis de Riesgos'!G116='Tablas AR'!$B$12,3,"")))</f>
        <v/>
      </c>
      <c r="I116" t="str">
        <f t="shared" si="1"/>
        <v/>
      </c>
    </row>
    <row r="117" spans="2:9" x14ac:dyDescent="0.25">
      <c r="B117" s="24" t="str">
        <f>IFERROR(INDEX(Activos!$B$3:$C$11, MATCH(C117,Activos!$B$3:$B$11),2),"")</f>
        <v/>
      </c>
      <c r="C117" s="24"/>
      <c r="D117" s="24"/>
      <c r="E117" s="23"/>
      <c r="F117" t="str">
        <f>IF(E117='Tablas AR'!$B$4,1,IF('Análisis de Riesgos'!E117='Tablas AR'!$B$5,2,IF('Análisis de Riesgos'!E117='Tablas AR'!$B$6,3,"")))</f>
        <v/>
      </c>
      <c r="G117" s="23"/>
      <c r="H117" t="str">
        <f>IF(G117='Tablas AR'!$B$10,1,IF('Análisis de Riesgos'!G117='Tablas AR'!$B$11,2,IF('Análisis de Riesgos'!G117='Tablas AR'!$B$12,3,"")))</f>
        <v/>
      </c>
      <c r="I117" t="str">
        <f t="shared" si="1"/>
        <v/>
      </c>
    </row>
    <row r="118" spans="2:9" x14ac:dyDescent="0.25">
      <c r="B118" s="24" t="str">
        <f>IFERROR(INDEX(Activos!$B$3:$C$11, MATCH(C118,Activos!$B$3:$B$11),2),"")</f>
        <v/>
      </c>
      <c r="C118" s="24"/>
      <c r="D118" s="24"/>
      <c r="E118" s="23"/>
      <c r="F118" t="str">
        <f>IF(E118='Tablas AR'!$B$4,1,IF('Análisis de Riesgos'!E118='Tablas AR'!$B$5,2,IF('Análisis de Riesgos'!E118='Tablas AR'!$B$6,3,"")))</f>
        <v/>
      </c>
      <c r="G118" s="23"/>
      <c r="H118" t="str">
        <f>IF(G118='Tablas AR'!$B$10,1,IF('Análisis de Riesgos'!G118='Tablas AR'!$B$11,2,IF('Análisis de Riesgos'!G118='Tablas AR'!$B$12,3,"")))</f>
        <v/>
      </c>
      <c r="I118" t="str">
        <f t="shared" si="1"/>
        <v/>
      </c>
    </row>
    <row r="119" spans="2:9" x14ac:dyDescent="0.25">
      <c r="B119" s="24" t="str">
        <f>IFERROR(INDEX(Activos!$B$3:$C$11, MATCH(C119,Activos!$B$3:$B$11),2),"")</f>
        <v/>
      </c>
      <c r="C119" s="24"/>
      <c r="D119" s="24"/>
      <c r="E119" s="23"/>
      <c r="F119" t="str">
        <f>IF(E119='Tablas AR'!$B$4,1,IF('Análisis de Riesgos'!E119='Tablas AR'!$B$5,2,IF('Análisis de Riesgos'!E119='Tablas AR'!$B$6,3,"")))</f>
        <v/>
      </c>
      <c r="G119" s="23"/>
      <c r="H119" t="str">
        <f>IF(G119='Tablas AR'!$B$10,1,IF('Análisis de Riesgos'!G119='Tablas AR'!$B$11,2,IF('Análisis de Riesgos'!G119='Tablas AR'!$B$12,3,"")))</f>
        <v/>
      </c>
      <c r="I119" t="str">
        <f t="shared" si="1"/>
        <v/>
      </c>
    </row>
    <row r="120" spans="2:9" x14ac:dyDescent="0.25">
      <c r="B120" s="24" t="str">
        <f>IFERROR(INDEX(Activos!$B$3:$C$11, MATCH(C120,Activos!$B$3:$B$11),2),"")</f>
        <v/>
      </c>
      <c r="C120" s="24"/>
      <c r="D120" s="24"/>
      <c r="E120" s="23"/>
      <c r="F120" t="str">
        <f>IF(E120='Tablas AR'!$B$4,1,IF('Análisis de Riesgos'!E120='Tablas AR'!$B$5,2,IF('Análisis de Riesgos'!E120='Tablas AR'!$B$6,3,"")))</f>
        <v/>
      </c>
      <c r="G120" s="23"/>
      <c r="H120" t="str">
        <f>IF(G120='Tablas AR'!$B$10,1,IF('Análisis de Riesgos'!G120='Tablas AR'!$B$11,2,IF('Análisis de Riesgos'!G120='Tablas AR'!$B$12,3,"")))</f>
        <v/>
      </c>
      <c r="I120" t="str">
        <f t="shared" si="1"/>
        <v/>
      </c>
    </row>
    <row r="121" spans="2:9" x14ac:dyDescent="0.25">
      <c r="B121" s="24" t="str">
        <f>IFERROR(INDEX(Activos!$B$3:$C$11, MATCH(C121,Activos!$B$3:$B$11),2),"")</f>
        <v/>
      </c>
      <c r="C121" s="24"/>
      <c r="D121" s="24"/>
      <c r="E121" s="23"/>
      <c r="F121" t="str">
        <f>IF(E121='Tablas AR'!$B$4,1,IF('Análisis de Riesgos'!E121='Tablas AR'!$B$5,2,IF('Análisis de Riesgos'!E121='Tablas AR'!$B$6,3,"")))</f>
        <v/>
      </c>
      <c r="G121" s="23"/>
      <c r="H121" t="str">
        <f>IF(G121='Tablas AR'!$B$10,1,IF('Análisis de Riesgos'!G121='Tablas AR'!$B$11,2,IF('Análisis de Riesgos'!G121='Tablas AR'!$B$12,3,"")))</f>
        <v/>
      </c>
      <c r="I121" t="str">
        <f t="shared" si="1"/>
        <v/>
      </c>
    </row>
    <row r="122" spans="2:9" x14ac:dyDescent="0.25">
      <c r="B122" s="24" t="str">
        <f>IFERROR(INDEX(Activos!$B$3:$C$11, MATCH(C122,Activos!$B$3:$B$11),2),"")</f>
        <v/>
      </c>
      <c r="C122" s="24"/>
      <c r="D122" s="24"/>
      <c r="E122" s="23"/>
      <c r="F122" t="str">
        <f>IF(E122='Tablas AR'!$B$4,1,IF('Análisis de Riesgos'!E122='Tablas AR'!$B$5,2,IF('Análisis de Riesgos'!E122='Tablas AR'!$B$6,3,"")))</f>
        <v/>
      </c>
      <c r="G122" s="23"/>
      <c r="H122" t="str">
        <f>IF(G122='Tablas AR'!$B$10,1,IF('Análisis de Riesgos'!G122='Tablas AR'!$B$11,2,IF('Análisis de Riesgos'!G122='Tablas AR'!$B$12,3,"")))</f>
        <v/>
      </c>
      <c r="I122" t="str">
        <f t="shared" si="1"/>
        <v/>
      </c>
    </row>
    <row r="123" spans="2:9" x14ac:dyDescent="0.25">
      <c r="B123" s="24" t="str">
        <f>IFERROR(INDEX(Activos!$B$3:$C$11, MATCH(C123,Activos!$B$3:$B$11),2),"")</f>
        <v/>
      </c>
      <c r="C123" s="24"/>
      <c r="D123" s="24"/>
      <c r="E123" s="23"/>
      <c r="F123" t="str">
        <f>IF(E123='Tablas AR'!$B$4,1,IF('Análisis de Riesgos'!E123='Tablas AR'!$B$5,2,IF('Análisis de Riesgos'!E123='Tablas AR'!$B$6,3,"")))</f>
        <v/>
      </c>
      <c r="G123" s="23"/>
      <c r="H123" t="str">
        <f>IF(G123='Tablas AR'!$B$10,1,IF('Análisis de Riesgos'!G123='Tablas AR'!$B$11,2,IF('Análisis de Riesgos'!G123='Tablas AR'!$B$12,3,"")))</f>
        <v/>
      </c>
      <c r="I123" t="str">
        <f t="shared" si="1"/>
        <v/>
      </c>
    </row>
    <row r="124" spans="2:9" x14ac:dyDescent="0.25">
      <c r="B124" s="24" t="str">
        <f>IFERROR(INDEX(Activos!$B$3:$C$11, MATCH(C124,Activos!$B$3:$B$11),2),"")</f>
        <v/>
      </c>
      <c r="C124" s="24"/>
      <c r="D124" s="24"/>
      <c r="E124" s="23"/>
      <c r="F124" t="str">
        <f>IF(E124='Tablas AR'!$B$4,1,IF('Análisis de Riesgos'!E124='Tablas AR'!$B$5,2,IF('Análisis de Riesgos'!E124='Tablas AR'!$B$6,3,"")))</f>
        <v/>
      </c>
      <c r="G124" s="23"/>
      <c r="H124" t="str">
        <f>IF(G124='Tablas AR'!$B$10,1,IF('Análisis de Riesgos'!G124='Tablas AR'!$B$11,2,IF('Análisis de Riesgos'!G124='Tablas AR'!$B$12,3,"")))</f>
        <v/>
      </c>
      <c r="I124" t="str">
        <f t="shared" si="1"/>
        <v/>
      </c>
    </row>
    <row r="125" spans="2:9" x14ac:dyDescent="0.25">
      <c r="B125" s="24" t="str">
        <f>IFERROR(INDEX(Activos!$B$3:$C$11, MATCH(C125,Activos!$B$3:$B$11),2),"")</f>
        <v/>
      </c>
      <c r="C125" s="24"/>
      <c r="D125" s="24"/>
      <c r="E125" s="23"/>
      <c r="F125" t="str">
        <f>IF(E125='Tablas AR'!$B$4,1,IF('Análisis de Riesgos'!E125='Tablas AR'!$B$5,2,IF('Análisis de Riesgos'!E125='Tablas AR'!$B$6,3,"")))</f>
        <v/>
      </c>
      <c r="G125" s="23"/>
      <c r="H125" t="str">
        <f>IF(G125='Tablas AR'!$B$10,1,IF('Análisis de Riesgos'!G125='Tablas AR'!$B$11,2,IF('Análisis de Riesgos'!G125='Tablas AR'!$B$12,3,"")))</f>
        <v/>
      </c>
      <c r="I125" t="str">
        <f t="shared" si="1"/>
        <v/>
      </c>
    </row>
    <row r="126" spans="2:9" x14ac:dyDescent="0.25">
      <c r="B126" s="24" t="str">
        <f>IFERROR(INDEX(Activos!$B$3:$C$11, MATCH(C126,Activos!$B$3:$B$11),2),"")</f>
        <v/>
      </c>
      <c r="C126" s="24"/>
      <c r="D126" s="24"/>
      <c r="E126" s="23"/>
      <c r="F126" t="str">
        <f>IF(E126='Tablas AR'!$B$4,1,IF('Análisis de Riesgos'!E126='Tablas AR'!$B$5,2,IF('Análisis de Riesgos'!E126='Tablas AR'!$B$6,3,"")))</f>
        <v/>
      </c>
      <c r="G126" s="23"/>
      <c r="H126" t="str">
        <f>IF(G126='Tablas AR'!$B$10,1,IF('Análisis de Riesgos'!G126='Tablas AR'!$B$11,2,IF('Análisis de Riesgos'!G126='Tablas AR'!$B$12,3,"")))</f>
        <v/>
      </c>
      <c r="I126" t="str">
        <f t="shared" si="1"/>
        <v/>
      </c>
    </row>
    <row r="127" spans="2:9" x14ac:dyDescent="0.25">
      <c r="B127" s="24" t="str">
        <f>IFERROR(INDEX(Activos!$B$3:$C$11, MATCH(C127,Activos!$B$3:$B$11),2),"")</f>
        <v/>
      </c>
      <c r="C127" s="24"/>
      <c r="D127" s="24"/>
      <c r="E127" s="23"/>
      <c r="F127" t="str">
        <f>IF(E127='Tablas AR'!$B$4,1,IF('Análisis de Riesgos'!E127='Tablas AR'!$B$5,2,IF('Análisis de Riesgos'!E127='Tablas AR'!$B$6,3,"")))</f>
        <v/>
      </c>
      <c r="G127" s="23"/>
      <c r="H127" t="str">
        <f>IF(G127='Tablas AR'!$B$10,1,IF('Análisis de Riesgos'!G127='Tablas AR'!$B$11,2,IF('Análisis de Riesgos'!G127='Tablas AR'!$B$12,3,"")))</f>
        <v/>
      </c>
      <c r="I127" t="str">
        <f t="shared" si="1"/>
        <v/>
      </c>
    </row>
    <row r="128" spans="2:9" x14ac:dyDescent="0.25">
      <c r="B128" s="24" t="str">
        <f>IFERROR(INDEX(Activos!$B$3:$C$11, MATCH(C128,Activos!$B$3:$B$11),2),"")</f>
        <v/>
      </c>
      <c r="C128" s="24"/>
      <c r="D128" s="24"/>
      <c r="E128" s="23"/>
      <c r="F128" t="str">
        <f>IF(E128='Tablas AR'!$B$4,1,IF('Análisis de Riesgos'!E128='Tablas AR'!$B$5,2,IF('Análisis de Riesgos'!E128='Tablas AR'!$B$6,3,"")))</f>
        <v/>
      </c>
      <c r="G128" s="23"/>
      <c r="H128" t="str">
        <f>IF(G128='Tablas AR'!$B$10,1,IF('Análisis de Riesgos'!G128='Tablas AR'!$B$11,2,IF('Análisis de Riesgos'!G128='Tablas AR'!$B$12,3,"")))</f>
        <v/>
      </c>
      <c r="I128" t="str">
        <f t="shared" si="1"/>
        <v/>
      </c>
    </row>
    <row r="129" spans="2:9" x14ac:dyDescent="0.25">
      <c r="B129" s="24" t="str">
        <f>IFERROR(INDEX(Activos!$B$3:$C$11, MATCH(C129,Activos!$B$3:$B$11),2),"")</f>
        <v/>
      </c>
      <c r="C129" s="24"/>
      <c r="D129" s="24"/>
      <c r="E129" s="23"/>
      <c r="F129" t="str">
        <f>IF(E129='Tablas AR'!$B$4,1,IF('Análisis de Riesgos'!E129='Tablas AR'!$B$5,2,IF('Análisis de Riesgos'!E129='Tablas AR'!$B$6,3,"")))</f>
        <v/>
      </c>
      <c r="G129" s="23"/>
      <c r="H129" t="str">
        <f>IF(G129='Tablas AR'!$B$10,1,IF('Análisis de Riesgos'!G129='Tablas AR'!$B$11,2,IF('Análisis de Riesgos'!G129='Tablas AR'!$B$12,3,"")))</f>
        <v/>
      </c>
      <c r="I129" t="str">
        <f t="shared" si="1"/>
        <v/>
      </c>
    </row>
    <row r="130" spans="2:9" x14ac:dyDescent="0.25">
      <c r="B130" s="24" t="str">
        <f>IFERROR(INDEX(Activos!$B$3:$C$11, MATCH(C130,Activos!$B$3:$B$11),2),"")</f>
        <v/>
      </c>
      <c r="C130" s="24"/>
      <c r="D130" s="24"/>
      <c r="E130" s="23"/>
      <c r="F130" t="str">
        <f>IF(E130='Tablas AR'!$B$4,1,IF('Análisis de Riesgos'!E130='Tablas AR'!$B$5,2,IF('Análisis de Riesgos'!E130='Tablas AR'!$B$6,3,"")))</f>
        <v/>
      </c>
      <c r="G130" s="23"/>
      <c r="H130" t="str">
        <f>IF(G130='Tablas AR'!$B$10,1,IF('Análisis de Riesgos'!G130='Tablas AR'!$B$11,2,IF('Análisis de Riesgos'!G130='Tablas AR'!$B$12,3,"")))</f>
        <v/>
      </c>
      <c r="I130" t="str">
        <f t="shared" si="1"/>
        <v/>
      </c>
    </row>
    <row r="131" spans="2:9" x14ac:dyDescent="0.25">
      <c r="B131" s="24" t="str">
        <f>IFERROR(INDEX(Activos!$B$3:$C$11, MATCH(C131,Activos!$B$3:$B$11),2),"")</f>
        <v/>
      </c>
      <c r="C131" s="24"/>
      <c r="D131" s="24"/>
      <c r="E131" s="23"/>
      <c r="F131" t="str">
        <f>IF(E131='Tablas AR'!$B$4,1,IF('Análisis de Riesgos'!E131='Tablas AR'!$B$5,2,IF('Análisis de Riesgos'!E131='Tablas AR'!$B$6,3,"")))</f>
        <v/>
      </c>
      <c r="G131" s="23"/>
      <c r="H131" t="str">
        <f>IF(G131='Tablas AR'!$B$10,1,IF('Análisis de Riesgos'!G131='Tablas AR'!$B$11,2,IF('Análisis de Riesgos'!G131='Tablas AR'!$B$12,3,"")))</f>
        <v/>
      </c>
      <c r="I131" t="str">
        <f t="shared" si="1"/>
        <v/>
      </c>
    </row>
    <row r="132" spans="2:9" x14ac:dyDescent="0.25">
      <c r="B132" s="24" t="str">
        <f>IFERROR(INDEX(Activos!$B$3:$C$11, MATCH(C132,Activos!$B$3:$B$11),2),"")</f>
        <v/>
      </c>
      <c r="C132" s="24"/>
      <c r="D132" s="24"/>
      <c r="E132" s="23"/>
      <c r="F132" t="str">
        <f>IF(E132='Tablas AR'!$B$4,1,IF('Análisis de Riesgos'!E132='Tablas AR'!$B$5,2,IF('Análisis de Riesgos'!E132='Tablas AR'!$B$6,3,"")))</f>
        <v/>
      </c>
      <c r="G132" s="23"/>
      <c r="H132" t="str">
        <f>IF(G132='Tablas AR'!$B$10,1,IF('Análisis de Riesgos'!G132='Tablas AR'!$B$11,2,IF('Análisis de Riesgos'!G132='Tablas AR'!$B$12,3,"")))</f>
        <v/>
      </c>
      <c r="I132" t="str">
        <f t="shared" ref="I132:I195" si="2" xml:space="preserve"> IFERROR(F132*H132,"")</f>
        <v/>
      </c>
    </row>
    <row r="133" spans="2:9" x14ac:dyDescent="0.25">
      <c r="B133" s="24" t="str">
        <f>IFERROR(INDEX(Activos!$B$3:$C$11, MATCH(C133,Activos!$B$3:$B$11),2),"")</f>
        <v/>
      </c>
      <c r="C133" s="24"/>
      <c r="D133" s="24"/>
      <c r="E133" s="23"/>
      <c r="F133" t="str">
        <f>IF(E133='Tablas AR'!$B$4,1,IF('Análisis de Riesgos'!E133='Tablas AR'!$B$5,2,IF('Análisis de Riesgos'!E133='Tablas AR'!$B$6,3,"")))</f>
        <v/>
      </c>
      <c r="G133" s="23"/>
      <c r="H133" t="str">
        <f>IF(G133='Tablas AR'!$B$10,1,IF('Análisis de Riesgos'!G133='Tablas AR'!$B$11,2,IF('Análisis de Riesgos'!G133='Tablas AR'!$B$12,3,"")))</f>
        <v/>
      </c>
      <c r="I133" t="str">
        <f t="shared" si="2"/>
        <v/>
      </c>
    </row>
    <row r="134" spans="2:9" x14ac:dyDescent="0.25">
      <c r="B134" s="24" t="str">
        <f>IFERROR(INDEX(Activos!$B$3:$C$11, MATCH(C134,Activos!$B$3:$B$11),2),"")</f>
        <v/>
      </c>
      <c r="C134" s="24"/>
      <c r="D134" s="24"/>
      <c r="E134" s="23"/>
      <c r="F134" t="str">
        <f>IF(E134='Tablas AR'!$B$4,1,IF('Análisis de Riesgos'!E134='Tablas AR'!$B$5,2,IF('Análisis de Riesgos'!E134='Tablas AR'!$B$6,3,"")))</f>
        <v/>
      </c>
      <c r="G134" s="23"/>
      <c r="H134" t="str">
        <f>IF(G134='Tablas AR'!$B$10,1,IF('Análisis de Riesgos'!G134='Tablas AR'!$B$11,2,IF('Análisis de Riesgos'!G134='Tablas AR'!$B$12,3,"")))</f>
        <v/>
      </c>
      <c r="I134" t="str">
        <f t="shared" si="2"/>
        <v/>
      </c>
    </row>
    <row r="135" spans="2:9" x14ac:dyDescent="0.25">
      <c r="B135" s="24" t="str">
        <f>IFERROR(INDEX(Activos!$B$3:$C$11, MATCH(C135,Activos!$B$3:$B$11),2),"")</f>
        <v/>
      </c>
      <c r="C135" s="24"/>
      <c r="D135" s="24"/>
      <c r="E135" s="23"/>
      <c r="F135" t="str">
        <f>IF(E135='Tablas AR'!$B$4,1,IF('Análisis de Riesgos'!E135='Tablas AR'!$B$5,2,IF('Análisis de Riesgos'!E135='Tablas AR'!$B$6,3,"")))</f>
        <v/>
      </c>
      <c r="G135" s="23"/>
      <c r="H135" t="str">
        <f>IF(G135='Tablas AR'!$B$10,1,IF('Análisis de Riesgos'!G135='Tablas AR'!$B$11,2,IF('Análisis de Riesgos'!G135='Tablas AR'!$B$12,3,"")))</f>
        <v/>
      </c>
      <c r="I135" t="str">
        <f t="shared" si="2"/>
        <v/>
      </c>
    </row>
    <row r="136" spans="2:9" x14ac:dyDescent="0.25">
      <c r="B136" s="24" t="str">
        <f>IFERROR(INDEX(Activos!$B$3:$C$11, MATCH(C136,Activos!$B$3:$B$11),2),"")</f>
        <v/>
      </c>
      <c r="C136" s="24"/>
      <c r="D136" s="24"/>
      <c r="E136" s="23"/>
      <c r="F136" t="str">
        <f>IF(E136='Tablas AR'!$B$4,1,IF('Análisis de Riesgos'!E136='Tablas AR'!$B$5,2,IF('Análisis de Riesgos'!E136='Tablas AR'!$B$6,3,"")))</f>
        <v/>
      </c>
      <c r="G136" s="23"/>
      <c r="H136" t="str">
        <f>IF(G136='Tablas AR'!$B$10,1,IF('Análisis de Riesgos'!G136='Tablas AR'!$B$11,2,IF('Análisis de Riesgos'!G136='Tablas AR'!$B$12,3,"")))</f>
        <v/>
      </c>
      <c r="I136" t="str">
        <f t="shared" si="2"/>
        <v/>
      </c>
    </row>
    <row r="137" spans="2:9" x14ac:dyDescent="0.25">
      <c r="B137" s="24" t="str">
        <f>IFERROR(INDEX(Activos!$B$3:$C$11, MATCH(C137,Activos!$B$3:$B$11),2),"")</f>
        <v/>
      </c>
      <c r="C137" s="24"/>
      <c r="D137" s="24"/>
      <c r="E137" s="23"/>
      <c r="F137" t="str">
        <f>IF(E137='Tablas AR'!$B$4,1,IF('Análisis de Riesgos'!E137='Tablas AR'!$B$5,2,IF('Análisis de Riesgos'!E137='Tablas AR'!$B$6,3,"")))</f>
        <v/>
      </c>
      <c r="G137" s="23"/>
      <c r="H137" t="str">
        <f>IF(G137='Tablas AR'!$B$10,1,IF('Análisis de Riesgos'!G137='Tablas AR'!$B$11,2,IF('Análisis de Riesgos'!G137='Tablas AR'!$B$12,3,"")))</f>
        <v/>
      </c>
      <c r="I137" t="str">
        <f t="shared" si="2"/>
        <v/>
      </c>
    </row>
    <row r="138" spans="2:9" x14ac:dyDescent="0.25">
      <c r="B138" s="24" t="str">
        <f>IFERROR(INDEX(Activos!$B$3:$C$11, MATCH(C138,Activos!$B$3:$B$11),2),"")</f>
        <v/>
      </c>
      <c r="C138" s="24"/>
      <c r="D138" s="24"/>
      <c r="E138" s="23"/>
      <c r="F138" t="str">
        <f>IF(E138='Tablas AR'!$B$4,1,IF('Análisis de Riesgos'!E138='Tablas AR'!$B$5,2,IF('Análisis de Riesgos'!E138='Tablas AR'!$B$6,3,"")))</f>
        <v/>
      </c>
      <c r="G138" s="23"/>
      <c r="H138" t="str">
        <f>IF(G138='Tablas AR'!$B$10,1,IF('Análisis de Riesgos'!G138='Tablas AR'!$B$11,2,IF('Análisis de Riesgos'!G138='Tablas AR'!$B$12,3,"")))</f>
        <v/>
      </c>
      <c r="I138" t="str">
        <f t="shared" si="2"/>
        <v/>
      </c>
    </row>
    <row r="139" spans="2:9" x14ac:dyDescent="0.25">
      <c r="B139" s="24" t="str">
        <f>IFERROR(INDEX(Activos!$B$3:$C$11, MATCH(C139,Activos!$B$3:$B$11),2),"")</f>
        <v/>
      </c>
      <c r="C139" s="24"/>
      <c r="D139" s="24"/>
      <c r="E139" s="23"/>
      <c r="F139" t="str">
        <f>IF(E139='Tablas AR'!$B$4,1,IF('Análisis de Riesgos'!E139='Tablas AR'!$B$5,2,IF('Análisis de Riesgos'!E139='Tablas AR'!$B$6,3,"")))</f>
        <v/>
      </c>
      <c r="G139" s="23"/>
      <c r="H139" t="str">
        <f>IF(G139='Tablas AR'!$B$10,1,IF('Análisis de Riesgos'!G139='Tablas AR'!$B$11,2,IF('Análisis de Riesgos'!G139='Tablas AR'!$B$12,3,"")))</f>
        <v/>
      </c>
      <c r="I139" t="str">
        <f t="shared" si="2"/>
        <v/>
      </c>
    </row>
    <row r="140" spans="2:9" x14ac:dyDescent="0.25">
      <c r="B140" s="24" t="str">
        <f>IFERROR(INDEX(Activos!$B$3:$C$11, MATCH(C140,Activos!$B$3:$B$11),2),"")</f>
        <v/>
      </c>
      <c r="C140" s="24"/>
      <c r="D140" s="24"/>
      <c r="E140" s="23"/>
      <c r="F140" t="str">
        <f>IF(E140='Tablas AR'!$B$4,1,IF('Análisis de Riesgos'!E140='Tablas AR'!$B$5,2,IF('Análisis de Riesgos'!E140='Tablas AR'!$B$6,3,"")))</f>
        <v/>
      </c>
      <c r="G140" s="23"/>
      <c r="H140" t="str">
        <f>IF(G140='Tablas AR'!$B$10,1,IF('Análisis de Riesgos'!G140='Tablas AR'!$B$11,2,IF('Análisis de Riesgos'!G140='Tablas AR'!$B$12,3,"")))</f>
        <v/>
      </c>
      <c r="I140" t="str">
        <f t="shared" si="2"/>
        <v/>
      </c>
    </row>
    <row r="141" spans="2:9" x14ac:dyDescent="0.25">
      <c r="B141" s="24" t="str">
        <f>IFERROR(INDEX(Activos!$B$3:$C$11, MATCH(C141,Activos!$B$3:$B$11),2),"")</f>
        <v/>
      </c>
      <c r="C141" s="24"/>
      <c r="D141" s="24"/>
      <c r="E141" s="23"/>
      <c r="F141" t="str">
        <f>IF(E141='Tablas AR'!$B$4,1,IF('Análisis de Riesgos'!E141='Tablas AR'!$B$5,2,IF('Análisis de Riesgos'!E141='Tablas AR'!$B$6,3,"")))</f>
        <v/>
      </c>
      <c r="G141" s="23"/>
      <c r="H141" t="str">
        <f>IF(G141='Tablas AR'!$B$10,1,IF('Análisis de Riesgos'!G141='Tablas AR'!$B$11,2,IF('Análisis de Riesgos'!G141='Tablas AR'!$B$12,3,"")))</f>
        <v/>
      </c>
      <c r="I141" t="str">
        <f t="shared" si="2"/>
        <v/>
      </c>
    </row>
    <row r="142" spans="2:9" x14ac:dyDescent="0.25">
      <c r="B142" s="24" t="str">
        <f>IFERROR(INDEX(Activos!$B$3:$C$11, MATCH(C142,Activos!$B$3:$B$11),2),"")</f>
        <v/>
      </c>
      <c r="C142" s="24"/>
      <c r="D142" s="24"/>
      <c r="E142" s="23"/>
      <c r="F142" t="str">
        <f>IF(E142='Tablas AR'!$B$4,1,IF('Análisis de Riesgos'!E142='Tablas AR'!$B$5,2,IF('Análisis de Riesgos'!E142='Tablas AR'!$B$6,3,"")))</f>
        <v/>
      </c>
      <c r="G142" s="23"/>
      <c r="H142" t="str">
        <f>IF(G142='Tablas AR'!$B$10,1,IF('Análisis de Riesgos'!G142='Tablas AR'!$B$11,2,IF('Análisis de Riesgos'!G142='Tablas AR'!$B$12,3,"")))</f>
        <v/>
      </c>
      <c r="I142" t="str">
        <f t="shared" si="2"/>
        <v/>
      </c>
    </row>
    <row r="143" spans="2:9" x14ac:dyDescent="0.25">
      <c r="B143" s="24" t="str">
        <f>IFERROR(INDEX(Activos!$B$3:$C$11, MATCH(C143,Activos!$B$3:$B$11),2),"")</f>
        <v/>
      </c>
      <c r="C143" s="24"/>
      <c r="D143" s="24"/>
      <c r="E143" s="23"/>
      <c r="F143" t="str">
        <f>IF(E143='Tablas AR'!$B$4,1,IF('Análisis de Riesgos'!E143='Tablas AR'!$B$5,2,IF('Análisis de Riesgos'!E143='Tablas AR'!$B$6,3,"")))</f>
        <v/>
      </c>
      <c r="G143" s="23"/>
      <c r="H143" t="str">
        <f>IF(G143='Tablas AR'!$B$10,1,IF('Análisis de Riesgos'!G143='Tablas AR'!$B$11,2,IF('Análisis de Riesgos'!G143='Tablas AR'!$B$12,3,"")))</f>
        <v/>
      </c>
      <c r="I143" t="str">
        <f t="shared" si="2"/>
        <v/>
      </c>
    </row>
    <row r="144" spans="2:9" x14ac:dyDescent="0.25">
      <c r="B144" s="24" t="str">
        <f>IFERROR(INDEX(Activos!$B$3:$C$11, MATCH(C144,Activos!$B$3:$B$11),2),"")</f>
        <v/>
      </c>
      <c r="C144" s="24"/>
      <c r="D144" s="24"/>
      <c r="E144" s="23"/>
      <c r="F144" t="str">
        <f>IF(E144='Tablas AR'!$B$4,1,IF('Análisis de Riesgos'!E144='Tablas AR'!$B$5,2,IF('Análisis de Riesgos'!E144='Tablas AR'!$B$6,3,"")))</f>
        <v/>
      </c>
      <c r="G144" s="23"/>
      <c r="H144" t="str">
        <f>IF(G144='Tablas AR'!$B$10,1,IF('Análisis de Riesgos'!G144='Tablas AR'!$B$11,2,IF('Análisis de Riesgos'!G144='Tablas AR'!$B$12,3,"")))</f>
        <v/>
      </c>
      <c r="I144" t="str">
        <f t="shared" si="2"/>
        <v/>
      </c>
    </row>
    <row r="145" spans="2:9" x14ac:dyDescent="0.25">
      <c r="B145" s="24" t="str">
        <f>IFERROR(INDEX(Activos!$B$3:$C$11, MATCH(C145,Activos!$B$3:$B$11),2),"")</f>
        <v/>
      </c>
      <c r="C145" s="24"/>
      <c r="D145" s="24"/>
      <c r="E145" s="23"/>
      <c r="F145" t="str">
        <f>IF(E145='Tablas AR'!$B$4,1,IF('Análisis de Riesgos'!E145='Tablas AR'!$B$5,2,IF('Análisis de Riesgos'!E145='Tablas AR'!$B$6,3,"")))</f>
        <v/>
      </c>
      <c r="G145" s="23"/>
      <c r="H145" t="str">
        <f>IF(G145='Tablas AR'!$B$10,1,IF('Análisis de Riesgos'!G145='Tablas AR'!$B$11,2,IF('Análisis de Riesgos'!G145='Tablas AR'!$B$12,3,"")))</f>
        <v/>
      </c>
      <c r="I145" t="str">
        <f t="shared" si="2"/>
        <v/>
      </c>
    </row>
    <row r="146" spans="2:9" x14ac:dyDescent="0.25">
      <c r="B146" s="24" t="str">
        <f>IFERROR(INDEX(Activos!$B$3:$C$11, MATCH(C146,Activos!$B$3:$B$11),2),"")</f>
        <v/>
      </c>
      <c r="C146" s="24"/>
      <c r="D146" s="24"/>
      <c r="E146" s="23"/>
      <c r="F146" t="str">
        <f>IF(E146='Tablas AR'!$B$4,1,IF('Análisis de Riesgos'!E146='Tablas AR'!$B$5,2,IF('Análisis de Riesgos'!E146='Tablas AR'!$B$6,3,"")))</f>
        <v/>
      </c>
      <c r="G146" s="23"/>
      <c r="H146" t="str">
        <f>IF(G146='Tablas AR'!$B$10,1,IF('Análisis de Riesgos'!G146='Tablas AR'!$B$11,2,IF('Análisis de Riesgos'!G146='Tablas AR'!$B$12,3,"")))</f>
        <v/>
      </c>
      <c r="I146" t="str">
        <f t="shared" si="2"/>
        <v/>
      </c>
    </row>
    <row r="147" spans="2:9" x14ac:dyDescent="0.25">
      <c r="B147" s="24" t="str">
        <f>IFERROR(INDEX(Activos!$B$3:$C$11, MATCH(C147,Activos!$B$3:$B$11),2),"")</f>
        <v/>
      </c>
      <c r="C147" s="24"/>
      <c r="D147" s="24"/>
      <c r="E147" s="23"/>
      <c r="F147" t="str">
        <f>IF(E147='Tablas AR'!$B$4,1,IF('Análisis de Riesgos'!E147='Tablas AR'!$B$5,2,IF('Análisis de Riesgos'!E147='Tablas AR'!$B$6,3,"")))</f>
        <v/>
      </c>
      <c r="G147" s="23"/>
      <c r="H147" t="str">
        <f>IF(G147='Tablas AR'!$B$10,1,IF('Análisis de Riesgos'!G147='Tablas AR'!$B$11,2,IF('Análisis de Riesgos'!G147='Tablas AR'!$B$12,3,"")))</f>
        <v/>
      </c>
      <c r="I147" t="str">
        <f t="shared" si="2"/>
        <v/>
      </c>
    </row>
    <row r="148" spans="2:9" x14ac:dyDescent="0.25">
      <c r="B148" s="24" t="str">
        <f>IFERROR(INDEX(Activos!$B$3:$C$11, MATCH(C148,Activos!$B$3:$B$11),2),"")</f>
        <v/>
      </c>
      <c r="C148" s="24"/>
      <c r="D148" s="24"/>
      <c r="E148" s="23"/>
      <c r="F148" t="str">
        <f>IF(E148='Tablas AR'!$B$4,1,IF('Análisis de Riesgos'!E148='Tablas AR'!$B$5,2,IF('Análisis de Riesgos'!E148='Tablas AR'!$B$6,3,"")))</f>
        <v/>
      </c>
      <c r="G148" s="23"/>
      <c r="H148" t="str">
        <f>IF(G148='Tablas AR'!$B$10,1,IF('Análisis de Riesgos'!G148='Tablas AR'!$B$11,2,IF('Análisis de Riesgos'!G148='Tablas AR'!$B$12,3,"")))</f>
        <v/>
      </c>
      <c r="I148" t="str">
        <f t="shared" si="2"/>
        <v/>
      </c>
    </row>
    <row r="149" spans="2:9" x14ac:dyDescent="0.25">
      <c r="B149" s="24" t="str">
        <f>IFERROR(INDEX(Activos!$B$3:$C$11, MATCH(C149,Activos!$B$3:$B$11),2),"")</f>
        <v/>
      </c>
      <c r="C149" s="24"/>
      <c r="D149" s="24"/>
      <c r="E149" s="23"/>
      <c r="F149" t="str">
        <f>IF(E149='Tablas AR'!$B$4,1,IF('Análisis de Riesgos'!E149='Tablas AR'!$B$5,2,IF('Análisis de Riesgos'!E149='Tablas AR'!$B$6,3,"")))</f>
        <v/>
      </c>
      <c r="G149" s="23"/>
      <c r="H149" t="str">
        <f>IF(G149='Tablas AR'!$B$10,1,IF('Análisis de Riesgos'!G149='Tablas AR'!$B$11,2,IF('Análisis de Riesgos'!G149='Tablas AR'!$B$12,3,"")))</f>
        <v/>
      </c>
      <c r="I149" t="str">
        <f t="shared" si="2"/>
        <v/>
      </c>
    </row>
    <row r="150" spans="2:9" x14ac:dyDescent="0.25">
      <c r="B150" s="24" t="str">
        <f>IFERROR(INDEX(Activos!$B$3:$C$11, MATCH(C150,Activos!$B$3:$B$11),2),"")</f>
        <v/>
      </c>
      <c r="C150" s="24"/>
      <c r="D150" s="24"/>
      <c r="E150" s="23"/>
      <c r="F150" t="str">
        <f>IF(E150='Tablas AR'!$B$4,1,IF('Análisis de Riesgos'!E150='Tablas AR'!$B$5,2,IF('Análisis de Riesgos'!E150='Tablas AR'!$B$6,3,"")))</f>
        <v/>
      </c>
      <c r="G150" s="23"/>
      <c r="H150" t="str">
        <f>IF(G150='Tablas AR'!$B$10,1,IF('Análisis de Riesgos'!G150='Tablas AR'!$B$11,2,IF('Análisis de Riesgos'!G150='Tablas AR'!$B$12,3,"")))</f>
        <v/>
      </c>
      <c r="I150" t="str">
        <f t="shared" si="2"/>
        <v/>
      </c>
    </row>
    <row r="151" spans="2:9" x14ac:dyDescent="0.25">
      <c r="B151" s="24" t="str">
        <f>IFERROR(INDEX(Activos!$B$3:$C$11, MATCH(C151,Activos!$B$3:$B$11),2),"")</f>
        <v/>
      </c>
      <c r="C151" s="24"/>
      <c r="D151" s="24"/>
      <c r="E151" s="23"/>
      <c r="F151" t="str">
        <f>IF(E151='Tablas AR'!$B$4,1,IF('Análisis de Riesgos'!E151='Tablas AR'!$B$5,2,IF('Análisis de Riesgos'!E151='Tablas AR'!$B$6,3,"")))</f>
        <v/>
      </c>
      <c r="G151" s="23"/>
      <c r="H151" t="str">
        <f>IF(G151='Tablas AR'!$B$10,1,IF('Análisis de Riesgos'!G151='Tablas AR'!$B$11,2,IF('Análisis de Riesgos'!G151='Tablas AR'!$B$12,3,"")))</f>
        <v/>
      </c>
      <c r="I151" t="str">
        <f t="shared" si="2"/>
        <v/>
      </c>
    </row>
    <row r="152" spans="2:9" x14ac:dyDescent="0.25">
      <c r="B152" s="24" t="str">
        <f>IFERROR(INDEX(Activos!$B$3:$C$11, MATCH(C152,Activos!$B$3:$B$11),2),"")</f>
        <v/>
      </c>
      <c r="C152" s="24"/>
      <c r="D152" s="24"/>
      <c r="E152" s="23"/>
      <c r="F152" t="str">
        <f>IF(E152='Tablas AR'!$B$4,1,IF('Análisis de Riesgos'!E152='Tablas AR'!$B$5,2,IF('Análisis de Riesgos'!E152='Tablas AR'!$B$6,3,"")))</f>
        <v/>
      </c>
      <c r="G152" s="23"/>
      <c r="H152" t="str">
        <f>IF(G152='Tablas AR'!$B$10,1,IF('Análisis de Riesgos'!G152='Tablas AR'!$B$11,2,IF('Análisis de Riesgos'!G152='Tablas AR'!$B$12,3,"")))</f>
        <v/>
      </c>
      <c r="I152" t="str">
        <f t="shared" si="2"/>
        <v/>
      </c>
    </row>
    <row r="153" spans="2:9" x14ac:dyDescent="0.25">
      <c r="B153" s="24" t="str">
        <f>IFERROR(INDEX(Activos!$B$3:$C$11, MATCH(C153,Activos!$B$3:$B$11),2),"")</f>
        <v/>
      </c>
      <c r="C153" s="24"/>
      <c r="D153" s="24"/>
      <c r="E153" s="23"/>
      <c r="F153" t="str">
        <f>IF(E153='Tablas AR'!$B$4,1,IF('Análisis de Riesgos'!E153='Tablas AR'!$B$5,2,IF('Análisis de Riesgos'!E153='Tablas AR'!$B$6,3,"")))</f>
        <v/>
      </c>
      <c r="G153" s="23"/>
      <c r="H153" t="str">
        <f>IF(G153='Tablas AR'!$B$10,1,IF('Análisis de Riesgos'!G153='Tablas AR'!$B$11,2,IF('Análisis de Riesgos'!G153='Tablas AR'!$B$12,3,"")))</f>
        <v/>
      </c>
      <c r="I153" t="str">
        <f t="shared" si="2"/>
        <v/>
      </c>
    </row>
    <row r="154" spans="2:9" x14ac:dyDescent="0.25">
      <c r="B154" s="24" t="str">
        <f>IFERROR(INDEX(Activos!$B$3:$C$11, MATCH(C154,Activos!$B$3:$B$11),2),"")</f>
        <v/>
      </c>
      <c r="C154" s="24"/>
      <c r="D154" s="24"/>
      <c r="E154" s="23"/>
      <c r="F154" t="str">
        <f>IF(E154='Tablas AR'!$B$4,1,IF('Análisis de Riesgos'!E154='Tablas AR'!$B$5,2,IF('Análisis de Riesgos'!E154='Tablas AR'!$B$6,3,"")))</f>
        <v/>
      </c>
      <c r="G154" s="23"/>
      <c r="H154" t="str">
        <f>IF(G154='Tablas AR'!$B$10,1,IF('Análisis de Riesgos'!G154='Tablas AR'!$B$11,2,IF('Análisis de Riesgos'!G154='Tablas AR'!$B$12,3,"")))</f>
        <v/>
      </c>
      <c r="I154" t="str">
        <f t="shared" si="2"/>
        <v/>
      </c>
    </row>
    <row r="155" spans="2:9" x14ac:dyDescent="0.25">
      <c r="B155" s="24" t="str">
        <f>IFERROR(INDEX(Activos!$B$3:$C$11, MATCH(C155,Activos!$B$3:$B$11),2),"")</f>
        <v/>
      </c>
      <c r="C155" s="24"/>
      <c r="D155" s="24"/>
      <c r="E155" s="23"/>
      <c r="F155" t="str">
        <f>IF(E155='Tablas AR'!$B$4,1,IF('Análisis de Riesgos'!E155='Tablas AR'!$B$5,2,IF('Análisis de Riesgos'!E155='Tablas AR'!$B$6,3,"")))</f>
        <v/>
      </c>
      <c r="G155" s="23"/>
      <c r="H155" t="str">
        <f>IF(G155='Tablas AR'!$B$10,1,IF('Análisis de Riesgos'!G155='Tablas AR'!$B$11,2,IF('Análisis de Riesgos'!G155='Tablas AR'!$B$12,3,"")))</f>
        <v/>
      </c>
      <c r="I155" t="str">
        <f t="shared" si="2"/>
        <v/>
      </c>
    </row>
    <row r="156" spans="2:9" x14ac:dyDescent="0.25">
      <c r="B156" s="24" t="str">
        <f>IFERROR(INDEX(Activos!$B$3:$C$11, MATCH(C156,Activos!$B$3:$B$11),2),"")</f>
        <v/>
      </c>
      <c r="C156" s="24"/>
      <c r="D156" s="24"/>
      <c r="E156" s="23"/>
      <c r="F156" t="str">
        <f>IF(E156='Tablas AR'!$B$4,1,IF('Análisis de Riesgos'!E156='Tablas AR'!$B$5,2,IF('Análisis de Riesgos'!E156='Tablas AR'!$B$6,3,"")))</f>
        <v/>
      </c>
      <c r="G156" s="23"/>
      <c r="H156" t="str">
        <f>IF(G156='Tablas AR'!$B$10,1,IF('Análisis de Riesgos'!G156='Tablas AR'!$B$11,2,IF('Análisis de Riesgos'!G156='Tablas AR'!$B$12,3,"")))</f>
        <v/>
      </c>
      <c r="I156" t="str">
        <f t="shared" si="2"/>
        <v/>
      </c>
    </row>
    <row r="157" spans="2:9" x14ac:dyDescent="0.25">
      <c r="B157" s="24" t="str">
        <f>IFERROR(INDEX(Activos!$B$3:$C$11, MATCH(C157,Activos!$B$3:$B$11),2),"")</f>
        <v/>
      </c>
      <c r="C157" s="24"/>
      <c r="D157" s="24"/>
      <c r="E157" s="23"/>
      <c r="F157" t="str">
        <f>IF(E157='Tablas AR'!$B$4,1,IF('Análisis de Riesgos'!E157='Tablas AR'!$B$5,2,IF('Análisis de Riesgos'!E157='Tablas AR'!$B$6,3,"")))</f>
        <v/>
      </c>
      <c r="G157" s="23"/>
      <c r="H157" t="str">
        <f>IF(G157='Tablas AR'!$B$10,1,IF('Análisis de Riesgos'!G157='Tablas AR'!$B$11,2,IF('Análisis de Riesgos'!G157='Tablas AR'!$B$12,3,"")))</f>
        <v/>
      </c>
      <c r="I157" t="str">
        <f t="shared" si="2"/>
        <v/>
      </c>
    </row>
    <row r="158" spans="2:9" x14ac:dyDescent="0.25">
      <c r="B158" s="24" t="str">
        <f>IFERROR(INDEX(Activos!$B$3:$C$11, MATCH(C158,Activos!$B$3:$B$11),2),"")</f>
        <v/>
      </c>
      <c r="C158" s="24"/>
      <c r="D158" s="24"/>
      <c r="E158" s="23"/>
      <c r="F158" t="str">
        <f>IF(E158='Tablas AR'!$B$4,1,IF('Análisis de Riesgos'!E158='Tablas AR'!$B$5,2,IF('Análisis de Riesgos'!E158='Tablas AR'!$B$6,3,"")))</f>
        <v/>
      </c>
      <c r="G158" s="23"/>
      <c r="H158" t="str">
        <f>IF(G158='Tablas AR'!$B$10,1,IF('Análisis de Riesgos'!G158='Tablas AR'!$B$11,2,IF('Análisis de Riesgos'!G158='Tablas AR'!$B$12,3,"")))</f>
        <v/>
      </c>
      <c r="I158" t="str">
        <f t="shared" si="2"/>
        <v/>
      </c>
    </row>
    <row r="159" spans="2:9" x14ac:dyDescent="0.25">
      <c r="B159" s="24" t="str">
        <f>IFERROR(INDEX(Activos!$B$3:$C$11, MATCH(C159,Activos!$B$3:$B$11),2),"")</f>
        <v/>
      </c>
      <c r="C159" s="24"/>
      <c r="D159" s="24"/>
      <c r="E159" s="23"/>
      <c r="F159" t="str">
        <f>IF(E159='Tablas AR'!$B$4,1,IF('Análisis de Riesgos'!E159='Tablas AR'!$B$5,2,IF('Análisis de Riesgos'!E159='Tablas AR'!$B$6,3,"")))</f>
        <v/>
      </c>
      <c r="G159" s="23"/>
      <c r="H159" t="str">
        <f>IF(G159='Tablas AR'!$B$10,1,IF('Análisis de Riesgos'!G159='Tablas AR'!$B$11,2,IF('Análisis de Riesgos'!G159='Tablas AR'!$B$12,3,"")))</f>
        <v/>
      </c>
      <c r="I159" t="str">
        <f t="shared" si="2"/>
        <v/>
      </c>
    </row>
    <row r="160" spans="2:9" x14ac:dyDescent="0.25">
      <c r="B160" s="24" t="str">
        <f>IFERROR(INDEX(Activos!$B$3:$C$11, MATCH(C160,Activos!$B$3:$B$11),2),"")</f>
        <v/>
      </c>
      <c r="C160" s="24"/>
      <c r="D160" s="24"/>
      <c r="E160" s="23"/>
      <c r="F160" t="str">
        <f>IF(E160='Tablas AR'!$B$4,1,IF('Análisis de Riesgos'!E160='Tablas AR'!$B$5,2,IF('Análisis de Riesgos'!E160='Tablas AR'!$B$6,3,"")))</f>
        <v/>
      </c>
      <c r="G160" s="23"/>
      <c r="H160" t="str">
        <f>IF(G160='Tablas AR'!$B$10,1,IF('Análisis de Riesgos'!G160='Tablas AR'!$B$11,2,IF('Análisis de Riesgos'!G160='Tablas AR'!$B$12,3,"")))</f>
        <v/>
      </c>
      <c r="I160" t="str">
        <f t="shared" si="2"/>
        <v/>
      </c>
    </row>
    <row r="161" spans="2:9" x14ac:dyDescent="0.25">
      <c r="B161" s="24" t="str">
        <f>IFERROR(INDEX(Activos!$B$3:$C$11, MATCH(C161,Activos!$B$3:$B$11),2),"")</f>
        <v/>
      </c>
      <c r="C161" s="24"/>
      <c r="D161" s="24"/>
      <c r="E161" s="23"/>
      <c r="F161" t="str">
        <f>IF(E161='Tablas AR'!$B$4,1,IF('Análisis de Riesgos'!E161='Tablas AR'!$B$5,2,IF('Análisis de Riesgos'!E161='Tablas AR'!$B$6,3,"")))</f>
        <v/>
      </c>
      <c r="G161" s="23"/>
      <c r="H161" t="str">
        <f>IF(G161='Tablas AR'!$B$10,1,IF('Análisis de Riesgos'!G161='Tablas AR'!$B$11,2,IF('Análisis de Riesgos'!G161='Tablas AR'!$B$12,3,"")))</f>
        <v/>
      </c>
      <c r="I161" t="str">
        <f t="shared" si="2"/>
        <v/>
      </c>
    </row>
    <row r="162" spans="2:9" x14ac:dyDescent="0.25">
      <c r="B162" s="24" t="str">
        <f>IFERROR(INDEX(Activos!$B$3:$C$11, MATCH(C162,Activos!$B$3:$B$11),2),"")</f>
        <v/>
      </c>
      <c r="C162" s="24"/>
      <c r="D162" s="24"/>
      <c r="E162" s="23"/>
      <c r="F162" t="str">
        <f>IF(E162='Tablas AR'!$B$4,1,IF('Análisis de Riesgos'!E162='Tablas AR'!$B$5,2,IF('Análisis de Riesgos'!E162='Tablas AR'!$B$6,3,"")))</f>
        <v/>
      </c>
      <c r="G162" s="23"/>
      <c r="H162" t="str">
        <f>IF(G162='Tablas AR'!$B$10,1,IF('Análisis de Riesgos'!G162='Tablas AR'!$B$11,2,IF('Análisis de Riesgos'!G162='Tablas AR'!$B$12,3,"")))</f>
        <v/>
      </c>
      <c r="I162" t="str">
        <f t="shared" si="2"/>
        <v/>
      </c>
    </row>
    <row r="163" spans="2:9" x14ac:dyDescent="0.25">
      <c r="B163" s="24" t="str">
        <f>IFERROR(INDEX(Activos!$B$3:$C$11, MATCH(C163,Activos!$B$3:$B$11),2),"")</f>
        <v/>
      </c>
      <c r="C163" s="24"/>
      <c r="D163" s="24"/>
      <c r="E163" s="23"/>
      <c r="F163" t="str">
        <f>IF(E163='Tablas AR'!$B$4,1,IF('Análisis de Riesgos'!E163='Tablas AR'!$B$5,2,IF('Análisis de Riesgos'!E163='Tablas AR'!$B$6,3,"")))</f>
        <v/>
      </c>
      <c r="G163" s="23"/>
      <c r="H163" t="str">
        <f>IF(G163='Tablas AR'!$B$10,1,IF('Análisis de Riesgos'!G163='Tablas AR'!$B$11,2,IF('Análisis de Riesgos'!G163='Tablas AR'!$B$12,3,"")))</f>
        <v/>
      </c>
      <c r="I163" t="str">
        <f t="shared" si="2"/>
        <v/>
      </c>
    </row>
    <row r="164" spans="2:9" x14ac:dyDescent="0.25">
      <c r="B164" s="24" t="str">
        <f>IFERROR(INDEX(Activos!$B$3:$C$11, MATCH(C164,Activos!$B$3:$B$11),2),"")</f>
        <v/>
      </c>
      <c r="C164" s="24"/>
      <c r="D164" s="24"/>
      <c r="E164" s="23"/>
      <c r="F164" t="str">
        <f>IF(E164='Tablas AR'!$B$4,1,IF('Análisis de Riesgos'!E164='Tablas AR'!$B$5,2,IF('Análisis de Riesgos'!E164='Tablas AR'!$B$6,3,"")))</f>
        <v/>
      </c>
      <c r="G164" s="23"/>
      <c r="H164" t="str">
        <f>IF(G164='Tablas AR'!$B$10,1,IF('Análisis de Riesgos'!G164='Tablas AR'!$B$11,2,IF('Análisis de Riesgos'!G164='Tablas AR'!$B$12,3,"")))</f>
        <v/>
      </c>
      <c r="I164" t="str">
        <f t="shared" si="2"/>
        <v/>
      </c>
    </row>
    <row r="165" spans="2:9" x14ac:dyDescent="0.25">
      <c r="B165" s="24" t="str">
        <f>IFERROR(INDEX(Activos!$B$3:$C$11, MATCH(C165,Activos!$B$3:$B$11),2),"")</f>
        <v/>
      </c>
      <c r="C165" s="24"/>
      <c r="D165" s="24"/>
      <c r="E165" s="23"/>
      <c r="F165" t="str">
        <f>IF(E165='Tablas AR'!$B$4,1,IF('Análisis de Riesgos'!E165='Tablas AR'!$B$5,2,IF('Análisis de Riesgos'!E165='Tablas AR'!$B$6,3,"")))</f>
        <v/>
      </c>
      <c r="G165" s="23"/>
      <c r="H165" t="str">
        <f>IF(G165='Tablas AR'!$B$10,1,IF('Análisis de Riesgos'!G165='Tablas AR'!$B$11,2,IF('Análisis de Riesgos'!G165='Tablas AR'!$B$12,3,"")))</f>
        <v/>
      </c>
      <c r="I165" t="str">
        <f t="shared" si="2"/>
        <v/>
      </c>
    </row>
    <row r="166" spans="2:9" x14ac:dyDescent="0.25">
      <c r="B166" s="24" t="str">
        <f>IFERROR(INDEX(Activos!$B$3:$C$11, MATCH(C166,Activos!$B$3:$B$11),2),"")</f>
        <v/>
      </c>
      <c r="C166" s="24"/>
      <c r="D166" s="24"/>
      <c r="E166" s="23"/>
      <c r="F166" t="str">
        <f>IF(E166='Tablas AR'!$B$4,1,IF('Análisis de Riesgos'!E166='Tablas AR'!$B$5,2,IF('Análisis de Riesgos'!E166='Tablas AR'!$B$6,3,"")))</f>
        <v/>
      </c>
      <c r="G166" s="23"/>
      <c r="H166" t="str">
        <f>IF(G166='Tablas AR'!$B$10,1,IF('Análisis de Riesgos'!G166='Tablas AR'!$B$11,2,IF('Análisis de Riesgos'!G166='Tablas AR'!$B$12,3,"")))</f>
        <v/>
      </c>
      <c r="I166" t="str">
        <f t="shared" si="2"/>
        <v/>
      </c>
    </row>
    <row r="167" spans="2:9" x14ac:dyDescent="0.25">
      <c r="B167" s="24" t="str">
        <f>IFERROR(INDEX(Activos!$B$3:$C$11, MATCH(C167,Activos!$B$3:$B$11),2),"")</f>
        <v/>
      </c>
      <c r="C167" s="24"/>
      <c r="D167" s="24"/>
      <c r="E167" s="23"/>
      <c r="F167" t="str">
        <f>IF(E167='Tablas AR'!$B$4,1,IF('Análisis de Riesgos'!E167='Tablas AR'!$B$5,2,IF('Análisis de Riesgos'!E167='Tablas AR'!$B$6,3,"")))</f>
        <v/>
      </c>
      <c r="G167" s="23"/>
      <c r="H167" t="str">
        <f>IF(G167='Tablas AR'!$B$10,1,IF('Análisis de Riesgos'!G167='Tablas AR'!$B$11,2,IF('Análisis de Riesgos'!G167='Tablas AR'!$B$12,3,"")))</f>
        <v/>
      </c>
      <c r="I167" t="str">
        <f t="shared" si="2"/>
        <v/>
      </c>
    </row>
    <row r="168" spans="2:9" x14ac:dyDescent="0.25">
      <c r="B168" s="24" t="str">
        <f>IFERROR(INDEX(Activos!$B$3:$C$11, MATCH(C168,Activos!$B$3:$B$11),2),"")</f>
        <v/>
      </c>
      <c r="C168" s="24"/>
      <c r="D168" s="24"/>
      <c r="E168" s="23"/>
      <c r="F168" t="str">
        <f>IF(E168='Tablas AR'!$B$4,1,IF('Análisis de Riesgos'!E168='Tablas AR'!$B$5,2,IF('Análisis de Riesgos'!E168='Tablas AR'!$B$6,3,"")))</f>
        <v/>
      </c>
      <c r="G168" s="23"/>
      <c r="H168" t="str">
        <f>IF(G168='Tablas AR'!$B$10,1,IF('Análisis de Riesgos'!G168='Tablas AR'!$B$11,2,IF('Análisis de Riesgos'!G168='Tablas AR'!$B$12,3,"")))</f>
        <v/>
      </c>
      <c r="I168" t="str">
        <f t="shared" si="2"/>
        <v/>
      </c>
    </row>
    <row r="169" spans="2:9" x14ac:dyDescent="0.25">
      <c r="B169" s="24" t="str">
        <f>IFERROR(INDEX(Activos!$B$3:$C$11, MATCH(C169,Activos!$B$3:$B$11),2),"")</f>
        <v/>
      </c>
      <c r="C169" s="24"/>
      <c r="D169" s="24"/>
      <c r="E169" s="23"/>
      <c r="F169" t="str">
        <f>IF(E169='Tablas AR'!$B$4,1,IF('Análisis de Riesgos'!E169='Tablas AR'!$B$5,2,IF('Análisis de Riesgos'!E169='Tablas AR'!$B$6,3,"")))</f>
        <v/>
      </c>
      <c r="G169" s="23"/>
      <c r="H169" t="str">
        <f>IF(G169='Tablas AR'!$B$10,1,IF('Análisis de Riesgos'!G169='Tablas AR'!$B$11,2,IF('Análisis de Riesgos'!G169='Tablas AR'!$B$12,3,"")))</f>
        <v/>
      </c>
      <c r="I169" t="str">
        <f t="shared" si="2"/>
        <v/>
      </c>
    </row>
    <row r="170" spans="2:9" x14ac:dyDescent="0.25">
      <c r="B170" s="24" t="str">
        <f>IFERROR(INDEX(Activos!$B$3:$C$11, MATCH(C170,Activos!$B$3:$B$11),2),"")</f>
        <v/>
      </c>
      <c r="C170" s="24"/>
      <c r="D170" s="24"/>
      <c r="E170" s="23"/>
      <c r="F170" t="str">
        <f>IF(E170='Tablas AR'!$B$4,1,IF('Análisis de Riesgos'!E170='Tablas AR'!$B$5,2,IF('Análisis de Riesgos'!E170='Tablas AR'!$B$6,3,"")))</f>
        <v/>
      </c>
      <c r="G170" s="23"/>
      <c r="H170" t="str">
        <f>IF(G170='Tablas AR'!$B$10,1,IF('Análisis de Riesgos'!G170='Tablas AR'!$B$11,2,IF('Análisis de Riesgos'!G170='Tablas AR'!$B$12,3,"")))</f>
        <v/>
      </c>
      <c r="I170" t="str">
        <f t="shared" si="2"/>
        <v/>
      </c>
    </row>
    <row r="171" spans="2:9" x14ac:dyDescent="0.25">
      <c r="B171" s="24" t="str">
        <f>IFERROR(INDEX(Activos!$B$3:$C$11, MATCH(C171,Activos!$B$3:$B$11),2),"")</f>
        <v/>
      </c>
      <c r="C171" s="24"/>
      <c r="D171" s="24"/>
      <c r="E171" s="23"/>
      <c r="F171" t="str">
        <f>IF(E171='Tablas AR'!$B$4,1,IF('Análisis de Riesgos'!E171='Tablas AR'!$B$5,2,IF('Análisis de Riesgos'!E171='Tablas AR'!$B$6,3,"")))</f>
        <v/>
      </c>
      <c r="G171" s="23"/>
      <c r="H171" t="str">
        <f>IF(G171='Tablas AR'!$B$10,1,IF('Análisis de Riesgos'!G171='Tablas AR'!$B$11,2,IF('Análisis de Riesgos'!G171='Tablas AR'!$B$12,3,"")))</f>
        <v/>
      </c>
      <c r="I171" t="str">
        <f t="shared" si="2"/>
        <v/>
      </c>
    </row>
    <row r="172" spans="2:9" x14ac:dyDescent="0.25">
      <c r="B172" s="24" t="str">
        <f>IFERROR(INDEX(Activos!$B$3:$C$11, MATCH(C172,Activos!$B$3:$B$11),2),"")</f>
        <v/>
      </c>
      <c r="C172" s="24"/>
      <c r="D172" s="24"/>
      <c r="E172" s="23"/>
      <c r="F172" t="str">
        <f>IF(E172='Tablas AR'!$B$4,1,IF('Análisis de Riesgos'!E172='Tablas AR'!$B$5,2,IF('Análisis de Riesgos'!E172='Tablas AR'!$B$6,3,"")))</f>
        <v/>
      </c>
      <c r="G172" s="23"/>
      <c r="H172" t="str">
        <f>IF(G172='Tablas AR'!$B$10,1,IF('Análisis de Riesgos'!G172='Tablas AR'!$B$11,2,IF('Análisis de Riesgos'!G172='Tablas AR'!$B$12,3,"")))</f>
        <v/>
      </c>
      <c r="I172" t="str">
        <f t="shared" si="2"/>
        <v/>
      </c>
    </row>
    <row r="173" spans="2:9" x14ac:dyDescent="0.25">
      <c r="B173" s="24" t="str">
        <f>IFERROR(INDEX(Activos!$B$3:$C$11, MATCH(C173,Activos!$B$3:$B$11),2),"")</f>
        <v/>
      </c>
      <c r="C173" s="24"/>
      <c r="D173" s="24"/>
      <c r="E173" s="23"/>
      <c r="F173" t="str">
        <f>IF(E173='Tablas AR'!$B$4,1,IF('Análisis de Riesgos'!E173='Tablas AR'!$B$5,2,IF('Análisis de Riesgos'!E173='Tablas AR'!$B$6,3,"")))</f>
        <v/>
      </c>
      <c r="G173" s="23"/>
      <c r="H173" t="str">
        <f>IF(G173='Tablas AR'!$B$10,1,IF('Análisis de Riesgos'!G173='Tablas AR'!$B$11,2,IF('Análisis de Riesgos'!G173='Tablas AR'!$B$12,3,"")))</f>
        <v/>
      </c>
      <c r="I173" t="str">
        <f t="shared" si="2"/>
        <v/>
      </c>
    </row>
    <row r="174" spans="2:9" x14ac:dyDescent="0.25">
      <c r="B174" s="24" t="str">
        <f>IFERROR(INDEX(Activos!$B$3:$C$11, MATCH(C174,Activos!$B$3:$B$11),2),"")</f>
        <v/>
      </c>
      <c r="C174" s="24"/>
      <c r="D174" s="24"/>
      <c r="E174" s="23"/>
      <c r="F174" t="str">
        <f>IF(E174='Tablas AR'!$B$4,1,IF('Análisis de Riesgos'!E174='Tablas AR'!$B$5,2,IF('Análisis de Riesgos'!E174='Tablas AR'!$B$6,3,"")))</f>
        <v/>
      </c>
      <c r="G174" s="23"/>
      <c r="H174" t="str">
        <f>IF(G174='Tablas AR'!$B$10,1,IF('Análisis de Riesgos'!G174='Tablas AR'!$B$11,2,IF('Análisis de Riesgos'!G174='Tablas AR'!$B$12,3,"")))</f>
        <v/>
      </c>
      <c r="I174" t="str">
        <f t="shared" si="2"/>
        <v/>
      </c>
    </row>
    <row r="175" spans="2:9" x14ac:dyDescent="0.25">
      <c r="B175" s="24" t="str">
        <f>IFERROR(INDEX(Activos!$B$3:$C$11, MATCH(C175,Activos!$B$3:$B$11),2),"")</f>
        <v/>
      </c>
      <c r="C175" s="24"/>
      <c r="D175" s="24"/>
      <c r="E175" s="23"/>
      <c r="F175" t="str">
        <f>IF(E175='Tablas AR'!$B$4,1,IF('Análisis de Riesgos'!E175='Tablas AR'!$B$5,2,IF('Análisis de Riesgos'!E175='Tablas AR'!$B$6,3,"")))</f>
        <v/>
      </c>
      <c r="G175" s="23"/>
      <c r="H175" t="str">
        <f>IF(G175='Tablas AR'!$B$10,1,IF('Análisis de Riesgos'!G175='Tablas AR'!$B$11,2,IF('Análisis de Riesgos'!G175='Tablas AR'!$B$12,3,"")))</f>
        <v/>
      </c>
      <c r="I175" t="str">
        <f t="shared" si="2"/>
        <v/>
      </c>
    </row>
    <row r="176" spans="2:9" x14ac:dyDescent="0.25">
      <c r="B176" s="24" t="str">
        <f>IFERROR(INDEX(Activos!$B$3:$C$11, MATCH(C176,Activos!$B$3:$B$11),2),"")</f>
        <v/>
      </c>
      <c r="C176" s="24"/>
      <c r="D176" s="24"/>
      <c r="E176" s="23"/>
      <c r="F176" t="str">
        <f>IF(E176='Tablas AR'!$B$4,1,IF('Análisis de Riesgos'!E176='Tablas AR'!$B$5,2,IF('Análisis de Riesgos'!E176='Tablas AR'!$B$6,3,"")))</f>
        <v/>
      </c>
      <c r="G176" s="23"/>
      <c r="H176" t="str">
        <f>IF(G176='Tablas AR'!$B$10,1,IF('Análisis de Riesgos'!G176='Tablas AR'!$B$11,2,IF('Análisis de Riesgos'!G176='Tablas AR'!$B$12,3,"")))</f>
        <v/>
      </c>
      <c r="I176" t="str">
        <f t="shared" si="2"/>
        <v/>
      </c>
    </row>
    <row r="177" spans="2:9" x14ac:dyDescent="0.25">
      <c r="B177" s="24" t="str">
        <f>IFERROR(INDEX(Activos!$B$3:$C$11, MATCH(C177,Activos!$B$3:$B$11),2),"")</f>
        <v/>
      </c>
      <c r="C177" s="24"/>
      <c r="D177" s="24"/>
      <c r="E177" s="23"/>
      <c r="F177" t="str">
        <f>IF(E177='Tablas AR'!$B$4,1,IF('Análisis de Riesgos'!E177='Tablas AR'!$B$5,2,IF('Análisis de Riesgos'!E177='Tablas AR'!$B$6,3,"")))</f>
        <v/>
      </c>
      <c r="G177" s="23"/>
      <c r="H177" t="str">
        <f>IF(G177='Tablas AR'!$B$10,1,IF('Análisis de Riesgos'!G177='Tablas AR'!$B$11,2,IF('Análisis de Riesgos'!G177='Tablas AR'!$B$12,3,"")))</f>
        <v/>
      </c>
      <c r="I177" t="str">
        <f t="shared" si="2"/>
        <v/>
      </c>
    </row>
    <row r="178" spans="2:9" x14ac:dyDescent="0.25">
      <c r="B178" s="24" t="str">
        <f>IFERROR(INDEX(Activos!$B$3:$C$11, MATCH(C178,Activos!$B$3:$B$11),2),"")</f>
        <v/>
      </c>
      <c r="C178" s="24"/>
      <c r="D178" s="24"/>
      <c r="E178" s="23"/>
      <c r="F178" t="str">
        <f>IF(E178='Tablas AR'!$B$4,1,IF('Análisis de Riesgos'!E178='Tablas AR'!$B$5,2,IF('Análisis de Riesgos'!E178='Tablas AR'!$B$6,3,"")))</f>
        <v/>
      </c>
      <c r="G178" s="23"/>
      <c r="H178" t="str">
        <f>IF(G178='Tablas AR'!$B$10,1,IF('Análisis de Riesgos'!G178='Tablas AR'!$B$11,2,IF('Análisis de Riesgos'!G178='Tablas AR'!$B$12,3,"")))</f>
        <v/>
      </c>
      <c r="I178" t="str">
        <f t="shared" si="2"/>
        <v/>
      </c>
    </row>
    <row r="179" spans="2:9" x14ac:dyDescent="0.25">
      <c r="B179" s="24" t="str">
        <f>IFERROR(INDEX(Activos!$B$3:$C$11, MATCH(C179,Activos!$B$3:$B$11),2),"")</f>
        <v/>
      </c>
      <c r="C179" s="24"/>
      <c r="D179" s="24"/>
      <c r="E179" s="23"/>
      <c r="F179" t="str">
        <f>IF(E179='Tablas AR'!$B$4,1,IF('Análisis de Riesgos'!E179='Tablas AR'!$B$5,2,IF('Análisis de Riesgos'!E179='Tablas AR'!$B$6,3,"")))</f>
        <v/>
      </c>
      <c r="G179" s="23"/>
      <c r="H179" t="str">
        <f>IF(G179='Tablas AR'!$B$10,1,IF('Análisis de Riesgos'!G179='Tablas AR'!$B$11,2,IF('Análisis de Riesgos'!G179='Tablas AR'!$B$12,3,"")))</f>
        <v/>
      </c>
      <c r="I179" t="str">
        <f t="shared" si="2"/>
        <v/>
      </c>
    </row>
    <row r="180" spans="2:9" x14ac:dyDescent="0.25">
      <c r="B180" s="24" t="str">
        <f>IFERROR(INDEX(Activos!$B$3:$C$11, MATCH(C180,Activos!$B$3:$B$11),2),"")</f>
        <v/>
      </c>
      <c r="C180" s="24"/>
      <c r="D180" s="24"/>
      <c r="E180" s="23"/>
      <c r="F180" t="str">
        <f>IF(E180='Tablas AR'!$B$4,1,IF('Análisis de Riesgos'!E180='Tablas AR'!$B$5,2,IF('Análisis de Riesgos'!E180='Tablas AR'!$B$6,3,"")))</f>
        <v/>
      </c>
      <c r="G180" s="23"/>
      <c r="H180" t="str">
        <f>IF(G180='Tablas AR'!$B$10,1,IF('Análisis de Riesgos'!G180='Tablas AR'!$B$11,2,IF('Análisis de Riesgos'!G180='Tablas AR'!$B$12,3,"")))</f>
        <v/>
      </c>
      <c r="I180" t="str">
        <f t="shared" si="2"/>
        <v/>
      </c>
    </row>
    <row r="181" spans="2:9" x14ac:dyDescent="0.25">
      <c r="B181" s="24" t="str">
        <f>IFERROR(INDEX(Activos!$B$3:$C$11, MATCH(C181,Activos!$B$3:$B$11),2),"")</f>
        <v/>
      </c>
      <c r="C181" s="24"/>
      <c r="D181" s="24"/>
      <c r="E181" s="23"/>
      <c r="F181" t="str">
        <f>IF(E181='Tablas AR'!$B$4,1,IF('Análisis de Riesgos'!E181='Tablas AR'!$B$5,2,IF('Análisis de Riesgos'!E181='Tablas AR'!$B$6,3,"")))</f>
        <v/>
      </c>
      <c r="G181" s="23"/>
      <c r="H181" t="str">
        <f>IF(G181='Tablas AR'!$B$10,1,IF('Análisis de Riesgos'!G181='Tablas AR'!$B$11,2,IF('Análisis de Riesgos'!G181='Tablas AR'!$B$12,3,"")))</f>
        <v/>
      </c>
      <c r="I181" t="str">
        <f t="shared" si="2"/>
        <v/>
      </c>
    </row>
    <row r="182" spans="2:9" x14ac:dyDescent="0.25">
      <c r="B182" s="24" t="str">
        <f>IFERROR(INDEX(Activos!$B$3:$C$11, MATCH(C182,Activos!$B$3:$B$11),2),"")</f>
        <v/>
      </c>
      <c r="C182" s="24"/>
      <c r="D182" s="24"/>
      <c r="E182" s="23"/>
      <c r="F182" t="str">
        <f>IF(E182='Tablas AR'!$B$4,1,IF('Análisis de Riesgos'!E182='Tablas AR'!$B$5,2,IF('Análisis de Riesgos'!E182='Tablas AR'!$B$6,3,"")))</f>
        <v/>
      </c>
      <c r="G182" s="23"/>
      <c r="H182" t="str">
        <f>IF(G182='Tablas AR'!$B$10,1,IF('Análisis de Riesgos'!G182='Tablas AR'!$B$11,2,IF('Análisis de Riesgos'!G182='Tablas AR'!$B$12,3,"")))</f>
        <v/>
      </c>
      <c r="I182" t="str">
        <f t="shared" si="2"/>
        <v/>
      </c>
    </row>
    <row r="183" spans="2:9" x14ac:dyDescent="0.25">
      <c r="B183" s="24" t="str">
        <f>IFERROR(INDEX(Activos!$B$3:$C$11, MATCH(C183,Activos!$B$3:$B$11),2),"")</f>
        <v/>
      </c>
      <c r="C183" s="24"/>
      <c r="D183" s="24"/>
      <c r="E183" s="23"/>
      <c r="F183" t="str">
        <f>IF(E183='Tablas AR'!$B$4,1,IF('Análisis de Riesgos'!E183='Tablas AR'!$B$5,2,IF('Análisis de Riesgos'!E183='Tablas AR'!$B$6,3,"")))</f>
        <v/>
      </c>
      <c r="G183" s="23"/>
      <c r="H183" t="str">
        <f>IF(G183='Tablas AR'!$B$10,1,IF('Análisis de Riesgos'!G183='Tablas AR'!$B$11,2,IF('Análisis de Riesgos'!G183='Tablas AR'!$B$12,3,"")))</f>
        <v/>
      </c>
      <c r="I183" t="str">
        <f t="shared" si="2"/>
        <v/>
      </c>
    </row>
    <row r="184" spans="2:9" x14ac:dyDescent="0.25">
      <c r="B184" s="24" t="str">
        <f>IFERROR(INDEX(Activos!$B$3:$C$11, MATCH(C184,Activos!$B$3:$B$11),2),"")</f>
        <v/>
      </c>
      <c r="C184" s="24"/>
      <c r="D184" s="24"/>
      <c r="E184" s="23"/>
      <c r="F184" t="str">
        <f>IF(E184='Tablas AR'!$B$4,1,IF('Análisis de Riesgos'!E184='Tablas AR'!$B$5,2,IF('Análisis de Riesgos'!E184='Tablas AR'!$B$6,3,"")))</f>
        <v/>
      </c>
      <c r="G184" s="23"/>
      <c r="H184" t="str">
        <f>IF(G184='Tablas AR'!$B$10,1,IF('Análisis de Riesgos'!G184='Tablas AR'!$B$11,2,IF('Análisis de Riesgos'!G184='Tablas AR'!$B$12,3,"")))</f>
        <v/>
      </c>
      <c r="I184" t="str">
        <f t="shared" si="2"/>
        <v/>
      </c>
    </row>
    <row r="185" spans="2:9" x14ac:dyDescent="0.25">
      <c r="B185" s="24" t="str">
        <f>IFERROR(INDEX(Activos!$B$3:$C$11, MATCH(C185,Activos!$B$3:$B$11),2),"")</f>
        <v/>
      </c>
      <c r="C185" s="24"/>
      <c r="D185" s="24"/>
      <c r="E185" s="23"/>
      <c r="F185" t="str">
        <f>IF(E185='Tablas AR'!$B$4,1,IF('Análisis de Riesgos'!E185='Tablas AR'!$B$5,2,IF('Análisis de Riesgos'!E185='Tablas AR'!$B$6,3,"")))</f>
        <v/>
      </c>
      <c r="G185" s="23"/>
      <c r="H185" t="str">
        <f>IF(G185='Tablas AR'!$B$10,1,IF('Análisis de Riesgos'!G185='Tablas AR'!$B$11,2,IF('Análisis de Riesgos'!G185='Tablas AR'!$B$12,3,"")))</f>
        <v/>
      </c>
      <c r="I185" t="str">
        <f t="shared" si="2"/>
        <v/>
      </c>
    </row>
    <row r="186" spans="2:9" x14ac:dyDescent="0.25">
      <c r="B186" s="24" t="str">
        <f>IFERROR(INDEX(Activos!$B$3:$C$11, MATCH(C186,Activos!$B$3:$B$11),2),"")</f>
        <v/>
      </c>
      <c r="C186" s="24"/>
      <c r="D186" s="24"/>
      <c r="E186" s="23"/>
      <c r="F186" t="str">
        <f>IF(E186='Tablas AR'!$B$4,1,IF('Análisis de Riesgos'!E186='Tablas AR'!$B$5,2,IF('Análisis de Riesgos'!E186='Tablas AR'!$B$6,3,"")))</f>
        <v/>
      </c>
      <c r="G186" s="23"/>
      <c r="H186" t="str">
        <f>IF(G186='Tablas AR'!$B$10,1,IF('Análisis de Riesgos'!G186='Tablas AR'!$B$11,2,IF('Análisis de Riesgos'!G186='Tablas AR'!$B$12,3,"")))</f>
        <v/>
      </c>
      <c r="I186" t="str">
        <f t="shared" si="2"/>
        <v/>
      </c>
    </row>
    <row r="187" spans="2:9" x14ac:dyDescent="0.25">
      <c r="B187" s="24" t="str">
        <f>IFERROR(INDEX(Activos!$B$3:$C$11, MATCH(C187,Activos!$B$3:$B$11),2),"")</f>
        <v/>
      </c>
      <c r="C187" s="24"/>
      <c r="D187" s="24"/>
      <c r="E187" s="23"/>
      <c r="F187" t="str">
        <f>IF(E187='Tablas AR'!$B$4,1,IF('Análisis de Riesgos'!E187='Tablas AR'!$B$5,2,IF('Análisis de Riesgos'!E187='Tablas AR'!$B$6,3,"")))</f>
        <v/>
      </c>
      <c r="G187" s="23"/>
      <c r="H187" t="str">
        <f>IF(G187='Tablas AR'!$B$10,1,IF('Análisis de Riesgos'!G187='Tablas AR'!$B$11,2,IF('Análisis de Riesgos'!G187='Tablas AR'!$B$12,3,"")))</f>
        <v/>
      </c>
      <c r="I187" t="str">
        <f t="shared" si="2"/>
        <v/>
      </c>
    </row>
    <row r="188" spans="2:9" x14ac:dyDescent="0.25">
      <c r="B188" s="24" t="str">
        <f>IFERROR(INDEX(Activos!$B$3:$C$11, MATCH(C188,Activos!$B$3:$B$11),2),"")</f>
        <v/>
      </c>
      <c r="C188" s="24"/>
      <c r="D188" s="24"/>
      <c r="E188" s="23"/>
      <c r="F188" t="str">
        <f>IF(E188='Tablas AR'!$B$4,1,IF('Análisis de Riesgos'!E188='Tablas AR'!$B$5,2,IF('Análisis de Riesgos'!E188='Tablas AR'!$B$6,3,"")))</f>
        <v/>
      </c>
      <c r="G188" s="23"/>
      <c r="H188" t="str">
        <f>IF(G188='Tablas AR'!$B$10,1,IF('Análisis de Riesgos'!G188='Tablas AR'!$B$11,2,IF('Análisis de Riesgos'!G188='Tablas AR'!$B$12,3,"")))</f>
        <v/>
      </c>
      <c r="I188" t="str">
        <f t="shared" si="2"/>
        <v/>
      </c>
    </row>
    <row r="189" spans="2:9" x14ac:dyDescent="0.25">
      <c r="B189" s="24" t="str">
        <f>IFERROR(INDEX(Activos!$B$3:$C$11, MATCH(C189,Activos!$B$3:$B$11),2),"")</f>
        <v/>
      </c>
      <c r="C189" s="24"/>
      <c r="D189" s="24"/>
      <c r="E189" s="23"/>
      <c r="F189" t="str">
        <f>IF(E189='Tablas AR'!$B$4,1,IF('Análisis de Riesgos'!E189='Tablas AR'!$B$5,2,IF('Análisis de Riesgos'!E189='Tablas AR'!$B$6,3,"")))</f>
        <v/>
      </c>
      <c r="G189" s="23"/>
      <c r="H189" t="str">
        <f>IF(G189='Tablas AR'!$B$10,1,IF('Análisis de Riesgos'!G189='Tablas AR'!$B$11,2,IF('Análisis de Riesgos'!G189='Tablas AR'!$B$12,3,"")))</f>
        <v/>
      </c>
      <c r="I189" t="str">
        <f t="shared" si="2"/>
        <v/>
      </c>
    </row>
    <row r="190" spans="2:9" x14ac:dyDescent="0.25">
      <c r="B190" s="24" t="str">
        <f>IFERROR(INDEX(Activos!$B$3:$C$11, MATCH(C190,Activos!$B$3:$B$11),2),"")</f>
        <v/>
      </c>
      <c r="C190" s="24"/>
      <c r="D190" s="24"/>
      <c r="E190" s="23"/>
      <c r="F190" t="str">
        <f>IF(E190='Tablas AR'!$B$4,1,IF('Análisis de Riesgos'!E190='Tablas AR'!$B$5,2,IF('Análisis de Riesgos'!E190='Tablas AR'!$B$6,3,"")))</f>
        <v/>
      </c>
      <c r="G190" s="23"/>
      <c r="H190" t="str">
        <f>IF(G190='Tablas AR'!$B$10,1,IF('Análisis de Riesgos'!G190='Tablas AR'!$B$11,2,IF('Análisis de Riesgos'!G190='Tablas AR'!$B$12,3,"")))</f>
        <v/>
      </c>
      <c r="I190" t="str">
        <f t="shared" si="2"/>
        <v/>
      </c>
    </row>
    <row r="191" spans="2:9" x14ac:dyDescent="0.25">
      <c r="B191" s="24" t="str">
        <f>IFERROR(INDEX(Activos!$B$3:$C$11, MATCH(C191,Activos!$B$3:$B$11),2),"")</f>
        <v/>
      </c>
      <c r="C191" s="24"/>
      <c r="D191" s="24"/>
      <c r="E191" s="23"/>
      <c r="F191" t="str">
        <f>IF(E191='Tablas AR'!$B$4,1,IF('Análisis de Riesgos'!E191='Tablas AR'!$B$5,2,IF('Análisis de Riesgos'!E191='Tablas AR'!$B$6,3,"")))</f>
        <v/>
      </c>
      <c r="G191" s="23"/>
      <c r="H191" t="str">
        <f>IF(G191='Tablas AR'!$B$10,1,IF('Análisis de Riesgos'!G191='Tablas AR'!$B$11,2,IF('Análisis de Riesgos'!G191='Tablas AR'!$B$12,3,"")))</f>
        <v/>
      </c>
      <c r="I191" t="str">
        <f t="shared" si="2"/>
        <v/>
      </c>
    </row>
    <row r="192" spans="2:9" x14ac:dyDescent="0.25">
      <c r="B192" s="24" t="str">
        <f>IFERROR(INDEX(Activos!$B$3:$C$11, MATCH(C192,Activos!$B$3:$B$11),2),"")</f>
        <v/>
      </c>
      <c r="C192" s="24"/>
      <c r="D192" s="24"/>
      <c r="E192" s="23"/>
      <c r="F192" t="str">
        <f>IF(E192='Tablas AR'!$B$4,1,IF('Análisis de Riesgos'!E192='Tablas AR'!$B$5,2,IF('Análisis de Riesgos'!E192='Tablas AR'!$B$6,3,"")))</f>
        <v/>
      </c>
      <c r="G192" s="23"/>
      <c r="H192" t="str">
        <f>IF(G192='Tablas AR'!$B$10,1,IF('Análisis de Riesgos'!G192='Tablas AR'!$B$11,2,IF('Análisis de Riesgos'!G192='Tablas AR'!$B$12,3,"")))</f>
        <v/>
      </c>
      <c r="I192" t="str">
        <f t="shared" si="2"/>
        <v/>
      </c>
    </row>
    <row r="193" spans="2:9" x14ac:dyDescent="0.25">
      <c r="B193" s="24" t="str">
        <f>IFERROR(INDEX(Activos!$B$3:$C$11, MATCH(C193,Activos!$B$3:$B$11),2),"")</f>
        <v/>
      </c>
      <c r="C193" s="24"/>
      <c r="D193" s="24"/>
      <c r="E193" s="23"/>
      <c r="F193" t="str">
        <f>IF(E193='Tablas AR'!$B$4,1,IF('Análisis de Riesgos'!E193='Tablas AR'!$B$5,2,IF('Análisis de Riesgos'!E193='Tablas AR'!$B$6,3,"")))</f>
        <v/>
      </c>
      <c r="G193" s="23"/>
      <c r="H193" t="str">
        <f>IF(G193='Tablas AR'!$B$10,1,IF('Análisis de Riesgos'!G193='Tablas AR'!$B$11,2,IF('Análisis de Riesgos'!G193='Tablas AR'!$B$12,3,"")))</f>
        <v/>
      </c>
      <c r="I193" t="str">
        <f t="shared" si="2"/>
        <v/>
      </c>
    </row>
    <row r="194" spans="2:9" x14ac:dyDescent="0.25">
      <c r="B194" s="24" t="str">
        <f>IFERROR(INDEX(Activos!$B$3:$C$11, MATCH(C194,Activos!$B$3:$B$11),2),"")</f>
        <v/>
      </c>
      <c r="C194" s="24"/>
      <c r="D194" s="24"/>
      <c r="E194" s="23"/>
      <c r="F194" t="str">
        <f>IF(E194='Tablas AR'!$B$4,1,IF('Análisis de Riesgos'!E194='Tablas AR'!$B$5,2,IF('Análisis de Riesgos'!E194='Tablas AR'!$B$6,3,"")))</f>
        <v/>
      </c>
      <c r="G194" s="23"/>
      <c r="H194" t="str">
        <f>IF(G194='Tablas AR'!$B$10,1,IF('Análisis de Riesgos'!G194='Tablas AR'!$B$11,2,IF('Análisis de Riesgos'!G194='Tablas AR'!$B$12,3,"")))</f>
        <v/>
      </c>
      <c r="I194" t="str">
        <f t="shared" si="2"/>
        <v/>
      </c>
    </row>
    <row r="195" spans="2:9" x14ac:dyDescent="0.25">
      <c r="B195" s="24" t="str">
        <f>IFERROR(INDEX(Activos!$B$3:$C$11, MATCH(C195,Activos!$B$3:$B$11),2),"")</f>
        <v/>
      </c>
      <c r="C195" s="24"/>
      <c r="D195" s="24"/>
      <c r="E195" s="23"/>
      <c r="F195" t="str">
        <f>IF(E195='Tablas AR'!$B$4,1,IF('Análisis de Riesgos'!E195='Tablas AR'!$B$5,2,IF('Análisis de Riesgos'!E195='Tablas AR'!$B$6,3,"")))</f>
        <v/>
      </c>
      <c r="G195" s="23"/>
      <c r="H195" t="str">
        <f>IF(G195='Tablas AR'!$B$10,1,IF('Análisis de Riesgos'!G195='Tablas AR'!$B$11,2,IF('Análisis de Riesgos'!G195='Tablas AR'!$B$12,3,"")))</f>
        <v/>
      </c>
      <c r="I195" t="str">
        <f t="shared" si="2"/>
        <v/>
      </c>
    </row>
    <row r="196" spans="2:9" x14ac:dyDescent="0.25">
      <c r="B196" s="24" t="str">
        <f>IFERROR(INDEX(Activos!$B$3:$C$11, MATCH(C196,Activos!$B$3:$B$11),2),"")</f>
        <v/>
      </c>
      <c r="C196" s="24"/>
      <c r="D196" s="24"/>
      <c r="E196" s="23"/>
      <c r="F196" t="str">
        <f>IF(E196='Tablas AR'!$B$4,1,IF('Análisis de Riesgos'!E196='Tablas AR'!$B$5,2,IF('Análisis de Riesgos'!E196='Tablas AR'!$B$6,3,"")))</f>
        <v/>
      </c>
      <c r="G196" s="23"/>
      <c r="H196" t="str">
        <f>IF(G196='Tablas AR'!$B$10,1,IF('Análisis de Riesgos'!G196='Tablas AR'!$B$11,2,IF('Análisis de Riesgos'!G196='Tablas AR'!$B$12,3,"")))</f>
        <v/>
      </c>
      <c r="I196" t="str">
        <f t="shared" ref="I196:I259" si="3" xml:space="preserve"> IFERROR(F196*H196,"")</f>
        <v/>
      </c>
    </row>
    <row r="197" spans="2:9" x14ac:dyDescent="0.25">
      <c r="B197" s="24" t="str">
        <f>IFERROR(INDEX(Activos!$B$3:$C$11, MATCH(C197,Activos!$B$3:$B$11),2),"")</f>
        <v/>
      </c>
      <c r="C197" s="24"/>
      <c r="D197" s="24"/>
      <c r="E197" s="23"/>
      <c r="F197" t="str">
        <f>IF(E197='Tablas AR'!$B$4,1,IF('Análisis de Riesgos'!E197='Tablas AR'!$B$5,2,IF('Análisis de Riesgos'!E197='Tablas AR'!$B$6,3,"")))</f>
        <v/>
      </c>
      <c r="G197" s="23"/>
      <c r="H197" t="str">
        <f>IF(G197='Tablas AR'!$B$10,1,IF('Análisis de Riesgos'!G197='Tablas AR'!$B$11,2,IF('Análisis de Riesgos'!G197='Tablas AR'!$B$12,3,"")))</f>
        <v/>
      </c>
      <c r="I197" t="str">
        <f t="shared" si="3"/>
        <v/>
      </c>
    </row>
    <row r="198" spans="2:9" x14ac:dyDescent="0.25">
      <c r="B198" s="24" t="str">
        <f>IFERROR(INDEX(Activos!$B$3:$C$11, MATCH(C198,Activos!$B$3:$B$11),2),"")</f>
        <v/>
      </c>
      <c r="C198" s="24"/>
      <c r="D198" s="24"/>
      <c r="E198" s="23"/>
      <c r="F198" t="str">
        <f>IF(E198='Tablas AR'!$B$4,1,IF('Análisis de Riesgos'!E198='Tablas AR'!$B$5,2,IF('Análisis de Riesgos'!E198='Tablas AR'!$B$6,3,"")))</f>
        <v/>
      </c>
      <c r="G198" s="23"/>
      <c r="H198" t="str">
        <f>IF(G198='Tablas AR'!$B$10,1,IF('Análisis de Riesgos'!G198='Tablas AR'!$B$11,2,IF('Análisis de Riesgos'!G198='Tablas AR'!$B$12,3,"")))</f>
        <v/>
      </c>
      <c r="I198" t="str">
        <f t="shared" si="3"/>
        <v/>
      </c>
    </row>
    <row r="199" spans="2:9" x14ac:dyDescent="0.25">
      <c r="B199" s="24" t="str">
        <f>IFERROR(INDEX(Activos!$B$3:$C$11, MATCH(C199,Activos!$B$3:$B$11),2),"")</f>
        <v/>
      </c>
      <c r="C199" s="24"/>
      <c r="D199" s="24"/>
      <c r="E199" s="23"/>
      <c r="F199" t="str">
        <f>IF(E199='Tablas AR'!$B$4,1,IF('Análisis de Riesgos'!E199='Tablas AR'!$B$5,2,IF('Análisis de Riesgos'!E199='Tablas AR'!$B$6,3,"")))</f>
        <v/>
      </c>
      <c r="G199" s="23"/>
      <c r="H199" t="str">
        <f>IF(G199='Tablas AR'!$B$10,1,IF('Análisis de Riesgos'!G199='Tablas AR'!$B$11,2,IF('Análisis de Riesgos'!G199='Tablas AR'!$B$12,3,"")))</f>
        <v/>
      </c>
      <c r="I199" t="str">
        <f t="shared" si="3"/>
        <v/>
      </c>
    </row>
    <row r="200" spans="2:9" x14ac:dyDescent="0.25">
      <c r="B200" s="24" t="str">
        <f>IFERROR(INDEX(Activos!$B$3:$C$11, MATCH(C200,Activos!$B$3:$B$11),2),"")</f>
        <v/>
      </c>
      <c r="C200" s="24"/>
      <c r="D200" s="24"/>
      <c r="E200" s="23"/>
      <c r="F200" t="str">
        <f>IF(E200='Tablas AR'!$B$4,1,IF('Análisis de Riesgos'!E200='Tablas AR'!$B$5,2,IF('Análisis de Riesgos'!E200='Tablas AR'!$B$6,3,"")))</f>
        <v/>
      </c>
      <c r="G200" s="23"/>
      <c r="H200" t="str">
        <f>IF(G200='Tablas AR'!$B$10,1,IF('Análisis de Riesgos'!G200='Tablas AR'!$B$11,2,IF('Análisis de Riesgos'!G200='Tablas AR'!$B$12,3,"")))</f>
        <v/>
      </c>
      <c r="I200" t="str">
        <f t="shared" si="3"/>
        <v/>
      </c>
    </row>
    <row r="201" spans="2:9" x14ac:dyDescent="0.25">
      <c r="B201" s="24" t="str">
        <f>IFERROR(INDEX(Activos!$B$3:$C$11, MATCH(C201,Activos!$B$3:$B$11),2),"")</f>
        <v/>
      </c>
      <c r="C201" s="24"/>
      <c r="D201" s="24"/>
      <c r="E201" s="23"/>
      <c r="F201" t="str">
        <f>IF(E201='Tablas AR'!$B$4,1,IF('Análisis de Riesgos'!E201='Tablas AR'!$B$5,2,IF('Análisis de Riesgos'!E201='Tablas AR'!$B$6,3,"")))</f>
        <v/>
      </c>
      <c r="G201" s="23"/>
      <c r="H201" t="str">
        <f>IF(G201='Tablas AR'!$B$10,1,IF('Análisis de Riesgos'!G201='Tablas AR'!$B$11,2,IF('Análisis de Riesgos'!G201='Tablas AR'!$B$12,3,"")))</f>
        <v/>
      </c>
      <c r="I201" t="str">
        <f t="shared" si="3"/>
        <v/>
      </c>
    </row>
    <row r="202" spans="2:9" x14ac:dyDescent="0.25">
      <c r="B202" s="24" t="str">
        <f>IFERROR(INDEX(Activos!$B$3:$C$11, MATCH(C202,Activos!$B$3:$B$11),2),"")</f>
        <v/>
      </c>
      <c r="C202" s="24"/>
      <c r="D202" s="24"/>
      <c r="E202" s="23"/>
      <c r="F202" t="str">
        <f>IF(E202='Tablas AR'!$B$4,1,IF('Análisis de Riesgos'!E202='Tablas AR'!$B$5,2,IF('Análisis de Riesgos'!E202='Tablas AR'!$B$6,3,"")))</f>
        <v/>
      </c>
      <c r="G202" s="23"/>
      <c r="H202" t="str">
        <f>IF(G202='Tablas AR'!$B$10,1,IF('Análisis de Riesgos'!G202='Tablas AR'!$B$11,2,IF('Análisis de Riesgos'!G202='Tablas AR'!$B$12,3,"")))</f>
        <v/>
      </c>
      <c r="I202" t="str">
        <f t="shared" si="3"/>
        <v/>
      </c>
    </row>
    <row r="203" spans="2:9" x14ac:dyDescent="0.25">
      <c r="B203" s="24" t="str">
        <f>IFERROR(INDEX(Activos!$B$3:$C$11, MATCH(C203,Activos!$B$3:$B$11),2),"")</f>
        <v/>
      </c>
      <c r="C203" s="24"/>
      <c r="D203" s="24"/>
      <c r="E203" s="23"/>
      <c r="F203" t="str">
        <f>IF(E203='Tablas AR'!$B$4,1,IF('Análisis de Riesgos'!E203='Tablas AR'!$B$5,2,IF('Análisis de Riesgos'!E203='Tablas AR'!$B$6,3,"")))</f>
        <v/>
      </c>
      <c r="G203" s="23"/>
      <c r="H203" t="str">
        <f>IF(G203='Tablas AR'!$B$10,1,IF('Análisis de Riesgos'!G203='Tablas AR'!$B$11,2,IF('Análisis de Riesgos'!G203='Tablas AR'!$B$12,3,"")))</f>
        <v/>
      </c>
      <c r="I203" t="str">
        <f t="shared" si="3"/>
        <v/>
      </c>
    </row>
    <row r="204" spans="2:9" x14ac:dyDescent="0.25">
      <c r="B204" s="24" t="str">
        <f>IFERROR(INDEX(Activos!$B$3:$C$11, MATCH(C204,Activos!$B$3:$B$11),2),"")</f>
        <v/>
      </c>
      <c r="C204" s="24"/>
      <c r="D204" s="24"/>
      <c r="E204" s="23"/>
      <c r="F204" t="str">
        <f>IF(E204='Tablas AR'!$B$4,1,IF('Análisis de Riesgos'!E204='Tablas AR'!$B$5,2,IF('Análisis de Riesgos'!E204='Tablas AR'!$B$6,3,"")))</f>
        <v/>
      </c>
      <c r="G204" s="23"/>
      <c r="H204" t="str">
        <f>IF(G204='Tablas AR'!$B$10,1,IF('Análisis de Riesgos'!G204='Tablas AR'!$B$11,2,IF('Análisis de Riesgos'!G204='Tablas AR'!$B$12,3,"")))</f>
        <v/>
      </c>
      <c r="I204" t="str">
        <f t="shared" si="3"/>
        <v/>
      </c>
    </row>
    <row r="205" spans="2:9" x14ac:dyDescent="0.25">
      <c r="B205" s="24" t="str">
        <f>IFERROR(INDEX(Activos!$B$3:$C$11, MATCH(C205,Activos!$B$3:$B$11),2),"")</f>
        <v/>
      </c>
      <c r="C205" s="24"/>
      <c r="D205" s="24"/>
      <c r="E205" s="23"/>
      <c r="F205" t="str">
        <f>IF(E205='Tablas AR'!$B$4,1,IF('Análisis de Riesgos'!E205='Tablas AR'!$B$5,2,IF('Análisis de Riesgos'!E205='Tablas AR'!$B$6,3,"")))</f>
        <v/>
      </c>
      <c r="G205" s="23"/>
      <c r="H205" t="str">
        <f>IF(G205='Tablas AR'!$B$10,1,IF('Análisis de Riesgos'!G205='Tablas AR'!$B$11,2,IF('Análisis de Riesgos'!G205='Tablas AR'!$B$12,3,"")))</f>
        <v/>
      </c>
      <c r="I205" t="str">
        <f t="shared" si="3"/>
        <v/>
      </c>
    </row>
    <row r="206" spans="2:9" x14ac:dyDescent="0.25">
      <c r="B206" s="24" t="str">
        <f>IFERROR(INDEX(Activos!$B$3:$C$11, MATCH(C206,Activos!$B$3:$B$11),2),"")</f>
        <v/>
      </c>
      <c r="C206" s="24"/>
      <c r="D206" s="24"/>
      <c r="E206" s="23"/>
      <c r="F206" t="str">
        <f>IF(E206='Tablas AR'!$B$4,1,IF('Análisis de Riesgos'!E206='Tablas AR'!$B$5,2,IF('Análisis de Riesgos'!E206='Tablas AR'!$B$6,3,"")))</f>
        <v/>
      </c>
      <c r="G206" s="23"/>
      <c r="H206" t="str">
        <f>IF(G206='Tablas AR'!$B$10,1,IF('Análisis de Riesgos'!G206='Tablas AR'!$B$11,2,IF('Análisis de Riesgos'!G206='Tablas AR'!$B$12,3,"")))</f>
        <v/>
      </c>
      <c r="I206" t="str">
        <f t="shared" si="3"/>
        <v/>
      </c>
    </row>
    <row r="207" spans="2:9" x14ac:dyDescent="0.25">
      <c r="B207" s="24" t="str">
        <f>IFERROR(INDEX(Activos!$B$3:$C$11, MATCH(C207,Activos!$B$3:$B$11),2),"")</f>
        <v/>
      </c>
      <c r="C207" s="24"/>
      <c r="D207" s="24"/>
      <c r="E207" s="23"/>
      <c r="F207" t="str">
        <f>IF(E207='Tablas AR'!$B$4,1,IF('Análisis de Riesgos'!E207='Tablas AR'!$B$5,2,IF('Análisis de Riesgos'!E207='Tablas AR'!$B$6,3,"")))</f>
        <v/>
      </c>
      <c r="G207" s="23"/>
      <c r="H207" t="str">
        <f>IF(G207='Tablas AR'!$B$10,1,IF('Análisis de Riesgos'!G207='Tablas AR'!$B$11,2,IF('Análisis de Riesgos'!G207='Tablas AR'!$B$12,3,"")))</f>
        <v/>
      </c>
      <c r="I207" t="str">
        <f t="shared" si="3"/>
        <v/>
      </c>
    </row>
    <row r="208" spans="2:9" x14ac:dyDescent="0.25">
      <c r="B208" s="24" t="str">
        <f>IFERROR(INDEX(Activos!$B$3:$C$11, MATCH(C208,Activos!$B$3:$B$11),2),"")</f>
        <v/>
      </c>
      <c r="C208" s="24"/>
      <c r="D208" s="24"/>
      <c r="E208" s="23"/>
      <c r="F208" t="str">
        <f>IF(E208='Tablas AR'!$B$4,1,IF('Análisis de Riesgos'!E208='Tablas AR'!$B$5,2,IF('Análisis de Riesgos'!E208='Tablas AR'!$B$6,3,"")))</f>
        <v/>
      </c>
      <c r="G208" s="23"/>
      <c r="H208" t="str">
        <f>IF(G208='Tablas AR'!$B$10,1,IF('Análisis de Riesgos'!G208='Tablas AR'!$B$11,2,IF('Análisis de Riesgos'!G208='Tablas AR'!$B$12,3,"")))</f>
        <v/>
      </c>
      <c r="I208" t="str">
        <f t="shared" si="3"/>
        <v/>
      </c>
    </row>
    <row r="209" spans="2:9" x14ac:dyDescent="0.25">
      <c r="B209" s="24" t="str">
        <f>IFERROR(INDEX(Activos!$B$3:$C$11, MATCH(C209,Activos!$B$3:$B$11),2),"")</f>
        <v/>
      </c>
      <c r="C209" s="24"/>
      <c r="D209" s="24"/>
      <c r="E209" s="23"/>
      <c r="F209" t="str">
        <f>IF(E209='Tablas AR'!$B$4,1,IF('Análisis de Riesgos'!E209='Tablas AR'!$B$5,2,IF('Análisis de Riesgos'!E209='Tablas AR'!$B$6,3,"")))</f>
        <v/>
      </c>
      <c r="G209" s="23"/>
      <c r="H209" t="str">
        <f>IF(G209='Tablas AR'!$B$10,1,IF('Análisis de Riesgos'!G209='Tablas AR'!$B$11,2,IF('Análisis de Riesgos'!G209='Tablas AR'!$B$12,3,"")))</f>
        <v/>
      </c>
      <c r="I209" t="str">
        <f t="shared" si="3"/>
        <v/>
      </c>
    </row>
    <row r="210" spans="2:9" x14ac:dyDescent="0.25">
      <c r="B210" s="24" t="str">
        <f>IFERROR(INDEX(Activos!$B$3:$C$11, MATCH(C210,Activos!$B$3:$B$11),2),"")</f>
        <v/>
      </c>
      <c r="C210" s="24"/>
      <c r="D210" s="24"/>
      <c r="E210" s="23"/>
      <c r="F210" t="str">
        <f>IF(E210='Tablas AR'!$B$4,1,IF('Análisis de Riesgos'!E210='Tablas AR'!$B$5,2,IF('Análisis de Riesgos'!E210='Tablas AR'!$B$6,3,"")))</f>
        <v/>
      </c>
      <c r="G210" s="23"/>
      <c r="H210" t="str">
        <f>IF(G210='Tablas AR'!$B$10,1,IF('Análisis de Riesgos'!G210='Tablas AR'!$B$11,2,IF('Análisis de Riesgos'!G210='Tablas AR'!$B$12,3,"")))</f>
        <v/>
      </c>
      <c r="I210" t="str">
        <f t="shared" si="3"/>
        <v/>
      </c>
    </row>
    <row r="211" spans="2:9" x14ac:dyDescent="0.25">
      <c r="B211" s="24" t="str">
        <f>IFERROR(INDEX(Activos!$B$3:$C$11, MATCH(C211,Activos!$B$3:$B$11),2),"")</f>
        <v/>
      </c>
      <c r="C211" s="24"/>
      <c r="D211" s="24"/>
      <c r="E211" s="23"/>
      <c r="F211" t="str">
        <f>IF(E211='Tablas AR'!$B$4,1,IF('Análisis de Riesgos'!E211='Tablas AR'!$B$5,2,IF('Análisis de Riesgos'!E211='Tablas AR'!$B$6,3,"")))</f>
        <v/>
      </c>
      <c r="G211" s="23"/>
      <c r="H211" t="str">
        <f>IF(G211='Tablas AR'!$B$10,1,IF('Análisis de Riesgos'!G211='Tablas AR'!$B$11,2,IF('Análisis de Riesgos'!G211='Tablas AR'!$B$12,3,"")))</f>
        <v/>
      </c>
      <c r="I211" t="str">
        <f t="shared" si="3"/>
        <v/>
      </c>
    </row>
    <row r="212" spans="2:9" x14ac:dyDescent="0.25">
      <c r="B212" s="24" t="str">
        <f>IFERROR(INDEX(Activos!$B$3:$C$11, MATCH(C212,Activos!$B$3:$B$11),2),"")</f>
        <v/>
      </c>
      <c r="C212" s="24"/>
      <c r="D212" s="24"/>
      <c r="E212" s="23"/>
      <c r="F212" t="str">
        <f>IF(E212='Tablas AR'!$B$4,1,IF('Análisis de Riesgos'!E212='Tablas AR'!$B$5,2,IF('Análisis de Riesgos'!E212='Tablas AR'!$B$6,3,"")))</f>
        <v/>
      </c>
      <c r="G212" s="23"/>
      <c r="H212" t="str">
        <f>IF(G212='Tablas AR'!$B$10,1,IF('Análisis de Riesgos'!G212='Tablas AR'!$B$11,2,IF('Análisis de Riesgos'!G212='Tablas AR'!$B$12,3,"")))</f>
        <v/>
      </c>
      <c r="I212" t="str">
        <f t="shared" si="3"/>
        <v/>
      </c>
    </row>
    <row r="213" spans="2:9" x14ac:dyDescent="0.25">
      <c r="B213" s="24" t="str">
        <f>IFERROR(INDEX(Activos!$B$3:$C$11, MATCH(C213,Activos!$B$3:$B$11),2),"")</f>
        <v/>
      </c>
      <c r="C213" s="24"/>
      <c r="D213" s="24"/>
      <c r="E213" s="23"/>
      <c r="F213" t="str">
        <f>IF(E213='Tablas AR'!$B$4,1,IF('Análisis de Riesgos'!E213='Tablas AR'!$B$5,2,IF('Análisis de Riesgos'!E213='Tablas AR'!$B$6,3,"")))</f>
        <v/>
      </c>
      <c r="G213" s="23"/>
      <c r="H213" t="str">
        <f>IF(G213='Tablas AR'!$B$10,1,IF('Análisis de Riesgos'!G213='Tablas AR'!$B$11,2,IF('Análisis de Riesgos'!G213='Tablas AR'!$B$12,3,"")))</f>
        <v/>
      </c>
      <c r="I213" t="str">
        <f t="shared" si="3"/>
        <v/>
      </c>
    </row>
    <row r="214" spans="2:9" x14ac:dyDescent="0.25">
      <c r="B214" s="24" t="str">
        <f>IFERROR(INDEX(Activos!$B$3:$C$11, MATCH(C214,Activos!$B$3:$B$11),2),"")</f>
        <v/>
      </c>
      <c r="C214" s="24"/>
      <c r="D214" s="24"/>
      <c r="E214" s="23"/>
      <c r="F214" t="str">
        <f>IF(E214='Tablas AR'!$B$4,1,IF('Análisis de Riesgos'!E214='Tablas AR'!$B$5,2,IF('Análisis de Riesgos'!E214='Tablas AR'!$B$6,3,"")))</f>
        <v/>
      </c>
      <c r="G214" s="23"/>
      <c r="H214" t="str">
        <f>IF(G214='Tablas AR'!$B$10,1,IF('Análisis de Riesgos'!G214='Tablas AR'!$B$11,2,IF('Análisis de Riesgos'!G214='Tablas AR'!$B$12,3,"")))</f>
        <v/>
      </c>
      <c r="I214" t="str">
        <f t="shared" si="3"/>
        <v/>
      </c>
    </row>
    <row r="215" spans="2:9" x14ac:dyDescent="0.25">
      <c r="B215" s="24" t="str">
        <f>IFERROR(INDEX(Activos!$B$3:$C$11, MATCH(C215,Activos!$B$3:$B$11),2),"")</f>
        <v/>
      </c>
      <c r="C215" s="24"/>
      <c r="D215" s="24"/>
      <c r="E215" s="23"/>
      <c r="F215" t="str">
        <f>IF(E215='Tablas AR'!$B$4,1,IF('Análisis de Riesgos'!E215='Tablas AR'!$B$5,2,IF('Análisis de Riesgos'!E215='Tablas AR'!$B$6,3,"")))</f>
        <v/>
      </c>
      <c r="G215" s="23"/>
      <c r="H215" t="str">
        <f>IF(G215='Tablas AR'!$B$10,1,IF('Análisis de Riesgos'!G215='Tablas AR'!$B$11,2,IF('Análisis de Riesgos'!G215='Tablas AR'!$B$12,3,"")))</f>
        <v/>
      </c>
      <c r="I215" t="str">
        <f t="shared" si="3"/>
        <v/>
      </c>
    </row>
    <row r="216" spans="2:9" x14ac:dyDescent="0.25">
      <c r="B216" s="24" t="str">
        <f>IFERROR(INDEX(Activos!$B$3:$C$11, MATCH(C216,Activos!$B$3:$B$11),2),"")</f>
        <v/>
      </c>
      <c r="C216" s="24"/>
      <c r="D216" s="24"/>
      <c r="E216" s="23"/>
      <c r="F216" t="str">
        <f>IF(E216='Tablas AR'!$B$4,1,IF('Análisis de Riesgos'!E216='Tablas AR'!$B$5,2,IF('Análisis de Riesgos'!E216='Tablas AR'!$B$6,3,"")))</f>
        <v/>
      </c>
      <c r="G216" s="23"/>
      <c r="H216" t="str">
        <f>IF(G216='Tablas AR'!$B$10,1,IF('Análisis de Riesgos'!G216='Tablas AR'!$B$11,2,IF('Análisis de Riesgos'!G216='Tablas AR'!$B$12,3,"")))</f>
        <v/>
      </c>
      <c r="I216" t="str">
        <f t="shared" si="3"/>
        <v/>
      </c>
    </row>
    <row r="217" spans="2:9" x14ac:dyDescent="0.25">
      <c r="B217" s="24" t="str">
        <f>IFERROR(INDEX(Activos!$B$3:$C$11, MATCH(C217,Activos!$B$3:$B$11),2),"")</f>
        <v/>
      </c>
      <c r="C217" s="24"/>
      <c r="D217" s="24"/>
      <c r="E217" s="23"/>
      <c r="F217" t="str">
        <f>IF(E217='Tablas AR'!$B$4,1,IF('Análisis de Riesgos'!E217='Tablas AR'!$B$5,2,IF('Análisis de Riesgos'!E217='Tablas AR'!$B$6,3,"")))</f>
        <v/>
      </c>
      <c r="G217" s="23"/>
      <c r="H217" t="str">
        <f>IF(G217='Tablas AR'!$B$10,1,IF('Análisis de Riesgos'!G217='Tablas AR'!$B$11,2,IF('Análisis de Riesgos'!G217='Tablas AR'!$B$12,3,"")))</f>
        <v/>
      </c>
      <c r="I217" t="str">
        <f t="shared" si="3"/>
        <v/>
      </c>
    </row>
    <row r="218" spans="2:9" x14ac:dyDescent="0.25">
      <c r="B218" s="24" t="str">
        <f>IFERROR(INDEX(Activos!$B$3:$C$11, MATCH(C218,Activos!$B$3:$B$11),2),"")</f>
        <v/>
      </c>
      <c r="C218" s="24"/>
      <c r="D218" s="24"/>
      <c r="E218" s="23"/>
      <c r="F218" t="str">
        <f>IF(E218='Tablas AR'!$B$4,1,IF('Análisis de Riesgos'!E218='Tablas AR'!$B$5,2,IF('Análisis de Riesgos'!E218='Tablas AR'!$B$6,3,"")))</f>
        <v/>
      </c>
      <c r="G218" s="23"/>
      <c r="H218" t="str">
        <f>IF(G218='Tablas AR'!$B$10,1,IF('Análisis de Riesgos'!G218='Tablas AR'!$B$11,2,IF('Análisis de Riesgos'!G218='Tablas AR'!$B$12,3,"")))</f>
        <v/>
      </c>
      <c r="I218" t="str">
        <f t="shared" si="3"/>
        <v/>
      </c>
    </row>
    <row r="219" spans="2:9" x14ac:dyDescent="0.25">
      <c r="B219" s="24" t="str">
        <f>IFERROR(INDEX(Activos!$B$3:$C$11, MATCH(C219,Activos!$B$3:$B$11),2),"")</f>
        <v/>
      </c>
      <c r="C219" s="24"/>
      <c r="D219" s="24"/>
      <c r="E219" s="23"/>
      <c r="F219" t="str">
        <f>IF(E219='Tablas AR'!$B$4,1,IF('Análisis de Riesgos'!E219='Tablas AR'!$B$5,2,IF('Análisis de Riesgos'!E219='Tablas AR'!$B$6,3,"")))</f>
        <v/>
      </c>
      <c r="G219" s="23"/>
      <c r="H219" t="str">
        <f>IF(G219='Tablas AR'!$B$10,1,IF('Análisis de Riesgos'!G219='Tablas AR'!$B$11,2,IF('Análisis de Riesgos'!G219='Tablas AR'!$B$12,3,"")))</f>
        <v/>
      </c>
      <c r="I219" t="str">
        <f t="shared" si="3"/>
        <v/>
      </c>
    </row>
    <row r="220" spans="2:9" x14ac:dyDescent="0.25">
      <c r="B220" s="24" t="str">
        <f>IFERROR(INDEX(Activos!$B$3:$C$11, MATCH(C220,Activos!$B$3:$B$11),2),"")</f>
        <v/>
      </c>
      <c r="C220" s="24"/>
      <c r="D220" s="24"/>
      <c r="E220" s="23"/>
      <c r="F220" t="str">
        <f>IF(E220='Tablas AR'!$B$4,1,IF('Análisis de Riesgos'!E220='Tablas AR'!$B$5,2,IF('Análisis de Riesgos'!E220='Tablas AR'!$B$6,3,"")))</f>
        <v/>
      </c>
      <c r="G220" s="23"/>
      <c r="H220" t="str">
        <f>IF(G220='Tablas AR'!$B$10,1,IF('Análisis de Riesgos'!G220='Tablas AR'!$B$11,2,IF('Análisis de Riesgos'!G220='Tablas AR'!$B$12,3,"")))</f>
        <v/>
      </c>
      <c r="I220" t="str">
        <f t="shared" si="3"/>
        <v/>
      </c>
    </row>
    <row r="221" spans="2:9" x14ac:dyDescent="0.25">
      <c r="B221" s="24" t="str">
        <f>IFERROR(INDEX(Activos!$B$3:$C$11, MATCH(C221,Activos!$B$3:$B$11),2),"")</f>
        <v/>
      </c>
      <c r="C221" s="24"/>
      <c r="D221" s="24"/>
      <c r="E221" s="23"/>
      <c r="F221" t="str">
        <f>IF(E221='Tablas AR'!$B$4,1,IF('Análisis de Riesgos'!E221='Tablas AR'!$B$5,2,IF('Análisis de Riesgos'!E221='Tablas AR'!$B$6,3,"")))</f>
        <v/>
      </c>
      <c r="G221" s="23"/>
      <c r="H221" t="str">
        <f>IF(G221='Tablas AR'!$B$10,1,IF('Análisis de Riesgos'!G221='Tablas AR'!$B$11,2,IF('Análisis de Riesgos'!G221='Tablas AR'!$B$12,3,"")))</f>
        <v/>
      </c>
      <c r="I221" t="str">
        <f t="shared" si="3"/>
        <v/>
      </c>
    </row>
    <row r="222" spans="2:9" x14ac:dyDescent="0.25">
      <c r="B222" s="24" t="str">
        <f>IFERROR(INDEX(Activos!$B$3:$C$11, MATCH(C222,Activos!$B$3:$B$11),2),"")</f>
        <v/>
      </c>
      <c r="C222" s="24"/>
      <c r="D222" s="24"/>
      <c r="E222" s="23"/>
      <c r="F222" t="str">
        <f>IF(E222='Tablas AR'!$B$4,1,IF('Análisis de Riesgos'!E222='Tablas AR'!$B$5,2,IF('Análisis de Riesgos'!E222='Tablas AR'!$B$6,3,"")))</f>
        <v/>
      </c>
      <c r="G222" s="23"/>
      <c r="H222" t="str">
        <f>IF(G222='Tablas AR'!$B$10,1,IF('Análisis de Riesgos'!G222='Tablas AR'!$B$11,2,IF('Análisis de Riesgos'!G222='Tablas AR'!$B$12,3,"")))</f>
        <v/>
      </c>
      <c r="I222" t="str">
        <f t="shared" si="3"/>
        <v/>
      </c>
    </row>
    <row r="223" spans="2:9" x14ac:dyDescent="0.25">
      <c r="B223" s="24" t="str">
        <f>IFERROR(INDEX(Activos!$B$3:$C$11, MATCH(C223,Activos!$B$3:$B$11),2),"")</f>
        <v/>
      </c>
      <c r="C223" s="24"/>
      <c r="D223" s="24"/>
      <c r="E223" s="23"/>
      <c r="F223" t="str">
        <f>IF(E223='Tablas AR'!$B$4,1,IF('Análisis de Riesgos'!E223='Tablas AR'!$B$5,2,IF('Análisis de Riesgos'!E223='Tablas AR'!$B$6,3,"")))</f>
        <v/>
      </c>
      <c r="G223" s="23"/>
      <c r="H223" t="str">
        <f>IF(G223='Tablas AR'!$B$10,1,IF('Análisis de Riesgos'!G223='Tablas AR'!$B$11,2,IF('Análisis de Riesgos'!G223='Tablas AR'!$B$12,3,"")))</f>
        <v/>
      </c>
      <c r="I223" t="str">
        <f t="shared" si="3"/>
        <v/>
      </c>
    </row>
    <row r="224" spans="2:9" x14ac:dyDescent="0.25">
      <c r="B224" s="24" t="str">
        <f>IFERROR(INDEX(Activos!$B$3:$C$11, MATCH(C224,Activos!$B$3:$B$11),2),"")</f>
        <v/>
      </c>
      <c r="C224" s="24"/>
      <c r="D224" s="24"/>
      <c r="E224" s="23"/>
      <c r="F224" t="str">
        <f>IF(E224='Tablas AR'!$B$4,1,IF('Análisis de Riesgos'!E224='Tablas AR'!$B$5,2,IF('Análisis de Riesgos'!E224='Tablas AR'!$B$6,3,"")))</f>
        <v/>
      </c>
      <c r="G224" s="23"/>
      <c r="H224" t="str">
        <f>IF(G224='Tablas AR'!$B$10,1,IF('Análisis de Riesgos'!G224='Tablas AR'!$B$11,2,IF('Análisis de Riesgos'!G224='Tablas AR'!$B$12,3,"")))</f>
        <v/>
      </c>
      <c r="I224" t="str">
        <f t="shared" si="3"/>
        <v/>
      </c>
    </row>
    <row r="225" spans="2:9" x14ac:dyDescent="0.25">
      <c r="B225" s="24" t="str">
        <f>IFERROR(INDEX(Activos!$B$3:$C$11, MATCH(C225,Activos!$B$3:$B$11),2),"")</f>
        <v/>
      </c>
      <c r="C225" s="24"/>
      <c r="D225" s="24"/>
      <c r="E225" s="23"/>
      <c r="F225" t="str">
        <f>IF(E225='Tablas AR'!$B$4,1,IF('Análisis de Riesgos'!E225='Tablas AR'!$B$5,2,IF('Análisis de Riesgos'!E225='Tablas AR'!$B$6,3,"")))</f>
        <v/>
      </c>
      <c r="G225" s="23"/>
      <c r="H225" t="str">
        <f>IF(G225='Tablas AR'!$B$10,1,IF('Análisis de Riesgos'!G225='Tablas AR'!$B$11,2,IF('Análisis de Riesgos'!G225='Tablas AR'!$B$12,3,"")))</f>
        <v/>
      </c>
      <c r="I225" t="str">
        <f t="shared" si="3"/>
        <v/>
      </c>
    </row>
    <row r="226" spans="2:9" x14ac:dyDescent="0.25">
      <c r="B226" s="24" t="str">
        <f>IFERROR(INDEX(Activos!$B$3:$C$11, MATCH(C226,Activos!$B$3:$B$11),2),"")</f>
        <v/>
      </c>
      <c r="C226" s="24"/>
      <c r="D226" s="24"/>
      <c r="E226" s="23"/>
      <c r="F226" t="str">
        <f>IF(E226='Tablas AR'!$B$4,1,IF('Análisis de Riesgos'!E226='Tablas AR'!$B$5,2,IF('Análisis de Riesgos'!E226='Tablas AR'!$B$6,3,"")))</f>
        <v/>
      </c>
      <c r="G226" s="23"/>
      <c r="H226" t="str">
        <f>IF(G226='Tablas AR'!$B$10,1,IF('Análisis de Riesgos'!G226='Tablas AR'!$B$11,2,IF('Análisis de Riesgos'!G226='Tablas AR'!$B$12,3,"")))</f>
        <v/>
      </c>
      <c r="I226" t="str">
        <f t="shared" si="3"/>
        <v/>
      </c>
    </row>
    <row r="227" spans="2:9" x14ac:dyDescent="0.25">
      <c r="B227" s="24" t="str">
        <f>IFERROR(INDEX(Activos!$B$3:$C$11, MATCH(C227,Activos!$B$3:$B$11),2),"")</f>
        <v/>
      </c>
      <c r="C227" s="24"/>
      <c r="D227" s="24"/>
      <c r="E227" s="23"/>
      <c r="F227" t="str">
        <f>IF(E227='Tablas AR'!$B$4,1,IF('Análisis de Riesgos'!E227='Tablas AR'!$B$5,2,IF('Análisis de Riesgos'!E227='Tablas AR'!$B$6,3,"")))</f>
        <v/>
      </c>
      <c r="G227" s="23"/>
      <c r="H227" t="str">
        <f>IF(G227='Tablas AR'!$B$10,1,IF('Análisis de Riesgos'!G227='Tablas AR'!$B$11,2,IF('Análisis de Riesgos'!G227='Tablas AR'!$B$12,3,"")))</f>
        <v/>
      </c>
      <c r="I227" t="str">
        <f t="shared" si="3"/>
        <v/>
      </c>
    </row>
    <row r="228" spans="2:9" x14ac:dyDescent="0.25">
      <c r="B228" s="24" t="str">
        <f>IFERROR(INDEX(Activos!$B$3:$C$11, MATCH(C228,Activos!$B$3:$B$11),2),"")</f>
        <v/>
      </c>
      <c r="C228" s="24"/>
      <c r="D228" s="24"/>
      <c r="E228" s="23"/>
      <c r="F228" t="str">
        <f>IF(E228='Tablas AR'!$B$4,1,IF('Análisis de Riesgos'!E228='Tablas AR'!$B$5,2,IF('Análisis de Riesgos'!E228='Tablas AR'!$B$6,3,"")))</f>
        <v/>
      </c>
      <c r="G228" s="23"/>
      <c r="H228" t="str">
        <f>IF(G228='Tablas AR'!$B$10,1,IF('Análisis de Riesgos'!G228='Tablas AR'!$B$11,2,IF('Análisis de Riesgos'!G228='Tablas AR'!$B$12,3,"")))</f>
        <v/>
      </c>
      <c r="I228" t="str">
        <f t="shared" si="3"/>
        <v/>
      </c>
    </row>
    <row r="229" spans="2:9" x14ac:dyDescent="0.25">
      <c r="B229" s="24" t="str">
        <f>IFERROR(INDEX(Activos!$B$3:$C$11, MATCH(C229,Activos!$B$3:$B$11),2),"")</f>
        <v/>
      </c>
      <c r="C229" s="24"/>
      <c r="D229" s="24"/>
      <c r="E229" s="23"/>
      <c r="F229" t="str">
        <f>IF(E229='Tablas AR'!$B$4,1,IF('Análisis de Riesgos'!E229='Tablas AR'!$B$5,2,IF('Análisis de Riesgos'!E229='Tablas AR'!$B$6,3,"")))</f>
        <v/>
      </c>
      <c r="G229" s="23"/>
      <c r="H229" t="str">
        <f>IF(G229='Tablas AR'!$B$10,1,IF('Análisis de Riesgos'!G229='Tablas AR'!$B$11,2,IF('Análisis de Riesgos'!G229='Tablas AR'!$B$12,3,"")))</f>
        <v/>
      </c>
      <c r="I229" t="str">
        <f t="shared" si="3"/>
        <v/>
      </c>
    </row>
    <row r="230" spans="2:9" x14ac:dyDescent="0.25">
      <c r="B230" s="24" t="str">
        <f>IFERROR(INDEX(Activos!$B$3:$C$11, MATCH(C230,Activos!$B$3:$B$11),2),"")</f>
        <v/>
      </c>
      <c r="C230" s="24"/>
      <c r="D230" s="24"/>
      <c r="E230" s="23"/>
      <c r="F230" t="str">
        <f>IF(E230='Tablas AR'!$B$4,1,IF('Análisis de Riesgos'!E230='Tablas AR'!$B$5,2,IF('Análisis de Riesgos'!E230='Tablas AR'!$B$6,3,"")))</f>
        <v/>
      </c>
      <c r="G230" s="23"/>
      <c r="H230" t="str">
        <f>IF(G230='Tablas AR'!$B$10,1,IF('Análisis de Riesgos'!G230='Tablas AR'!$B$11,2,IF('Análisis de Riesgos'!G230='Tablas AR'!$B$12,3,"")))</f>
        <v/>
      </c>
      <c r="I230" t="str">
        <f t="shared" si="3"/>
        <v/>
      </c>
    </row>
    <row r="231" spans="2:9" x14ac:dyDescent="0.25">
      <c r="B231" s="24" t="str">
        <f>IFERROR(INDEX(Activos!$B$3:$C$11, MATCH(C231,Activos!$B$3:$B$11),2),"")</f>
        <v/>
      </c>
      <c r="C231" s="24"/>
      <c r="D231" s="24"/>
      <c r="E231" s="23"/>
      <c r="F231" t="str">
        <f>IF(E231='Tablas AR'!$B$4,1,IF('Análisis de Riesgos'!E231='Tablas AR'!$B$5,2,IF('Análisis de Riesgos'!E231='Tablas AR'!$B$6,3,"")))</f>
        <v/>
      </c>
      <c r="G231" s="23"/>
      <c r="H231" t="str">
        <f>IF(G231='Tablas AR'!$B$10,1,IF('Análisis de Riesgos'!G231='Tablas AR'!$B$11,2,IF('Análisis de Riesgos'!G231='Tablas AR'!$B$12,3,"")))</f>
        <v/>
      </c>
      <c r="I231" t="str">
        <f t="shared" si="3"/>
        <v/>
      </c>
    </row>
    <row r="232" spans="2:9" x14ac:dyDescent="0.25">
      <c r="B232" s="24" t="str">
        <f>IFERROR(INDEX(Activos!$B$3:$C$11, MATCH(C232,Activos!$B$3:$B$11),2),"")</f>
        <v/>
      </c>
      <c r="C232" s="24"/>
      <c r="D232" s="24"/>
      <c r="E232" s="23"/>
      <c r="F232" t="str">
        <f>IF(E232='Tablas AR'!$B$4,1,IF('Análisis de Riesgos'!E232='Tablas AR'!$B$5,2,IF('Análisis de Riesgos'!E232='Tablas AR'!$B$6,3,"")))</f>
        <v/>
      </c>
      <c r="G232" s="23"/>
      <c r="H232" t="str">
        <f>IF(G232='Tablas AR'!$B$10,1,IF('Análisis de Riesgos'!G232='Tablas AR'!$B$11,2,IF('Análisis de Riesgos'!G232='Tablas AR'!$B$12,3,"")))</f>
        <v/>
      </c>
      <c r="I232" t="str">
        <f t="shared" si="3"/>
        <v/>
      </c>
    </row>
    <row r="233" spans="2:9" x14ac:dyDescent="0.25">
      <c r="B233" s="24" t="str">
        <f>IFERROR(INDEX(Activos!$B$3:$C$11, MATCH(C233,Activos!$B$3:$B$11),2),"")</f>
        <v/>
      </c>
      <c r="C233" s="24"/>
      <c r="D233" s="24"/>
      <c r="E233" s="23"/>
      <c r="F233" t="str">
        <f>IF(E233='Tablas AR'!$B$4,1,IF('Análisis de Riesgos'!E233='Tablas AR'!$B$5,2,IF('Análisis de Riesgos'!E233='Tablas AR'!$B$6,3,"")))</f>
        <v/>
      </c>
      <c r="G233" s="23"/>
      <c r="H233" t="str">
        <f>IF(G233='Tablas AR'!$B$10,1,IF('Análisis de Riesgos'!G233='Tablas AR'!$B$11,2,IF('Análisis de Riesgos'!G233='Tablas AR'!$B$12,3,"")))</f>
        <v/>
      </c>
      <c r="I233" t="str">
        <f t="shared" si="3"/>
        <v/>
      </c>
    </row>
    <row r="234" spans="2:9" x14ac:dyDescent="0.25">
      <c r="B234" s="24" t="str">
        <f>IFERROR(INDEX(Activos!$B$3:$C$11, MATCH(C234,Activos!$B$3:$B$11),2),"")</f>
        <v/>
      </c>
      <c r="C234" s="24"/>
      <c r="D234" s="24"/>
      <c r="E234" s="23"/>
      <c r="F234" t="str">
        <f>IF(E234='Tablas AR'!$B$4,1,IF('Análisis de Riesgos'!E234='Tablas AR'!$B$5,2,IF('Análisis de Riesgos'!E234='Tablas AR'!$B$6,3,"")))</f>
        <v/>
      </c>
      <c r="G234" s="23"/>
      <c r="H234" t="str">
        <f>IF(G234='Tablas AR'!$B$10,1,IF('Análisis de Riesgos'!G234='Tablas AR'!$B$11,2,IF('Análisis de Riesgos'!G234='Tablas AR'!$B$12,3,"")))</f>
        <v/>
      </c>
      <c r="I234" t="str">
        <f t="shared" si="3"/>
        <v/>
      </c>
    </row>
    <row r="235" spans="2:9" x14ac:dyDescent="0.25">
      <c r="B235" s="24" t="str">
        <f>IFERROR(INDEX(Activos!$B$3:$C$11, MATCH(C235,Activos!$B$3:$B$11),2),"")</f>
        <v/>
      </c>
      <c r="C235" s="24"/>
      <c r="D235" s="24"/>
      <c r="E235" s="23"/>
      <c r="F235" t="str">
        <f>IF(E235='Tablas AR'!$B$4,1,IF('Análisis de Riesgos'!E235='Tablas AR'!$B$5,2,IF('Análisis de Riesgos'!E235='Tablas AR'!$B$6,3,"")))</f>
        <v/>
      </c>
      <c r="G235" s="23"/>
      <c r="H235" t="str">
        <f>IF(G235='Tablas AR'!$B$10,1,IF('Análisis de Riesgos'!G235='Tablas AR'!$B$11,2,IF('Análisis de Riesgos'!G235='Tablas AR'!$B$12,3,"")))</f>
        <v/>
      </c>
      <c r="I235" t="str">
        <f t="shared" si="3"/>
        <v/>
      </c>
    </row>
    <row r="236" spans="2:9" x14ac:dyDescent="0.25">
      <c r="B236" s="24" t="str">
        <f>IFERROR(INDEX(Activos!$B$3:$C$11, MATCH(C236,Activos!$B$3:$B$11),2),"")</f>
        <v/>
      </c>
      <c r="C236" s="24"/>
      <c r="D236" s="24"/>
      <c r="E236" s="23"/>
      <c r="F236" t="str">
        <f>IF(E236='Tablas AR'!$B$4,1,IF('Análisis de Riesgos'!E236='Tablas AR'!$B$5,2,IF('Análisis de Riesgos'!E236='Tablas AR'!$B$6,3,"")))</f>
        <v/>
      </c>
      <c r="G236" s="23"/>
      <c r="H236" t="str">
        <f>IF(G236='Tablas AR'!$B$10,1,IF('Análisis de Riesgos'!G236='Tablas AR'!$B$11,2,IF('Análisis de Riesgos'!G236='Tablas AR'!$B$12,3,"")))</f>
        <v/>
      </c>
      <c r="I236" t="str">
        <f t="shared" si="3"/>
        <v/>
      </c>
    </row>
    <row r="237" spans="2:9" x14ac:dyDescent="0.25">
      <c r="B237" s="24" t="str">
        <f>IFERROR(INDEX(Activos!$B$3:$C$11, MATCH(C237,Activos!$B$3:$B$11),2),"")</f>
        <v/>
      </c>
      <c r="C237" s="24"/>
      <c r="D237" s="24"/>
      <c r="E237" s="23"/>
      <c r="F237" t="str">
        <f>IF(E237='Tablas AR'!$B$4,1,IF('Análisis de Riesgos'!E237='Tablas AR'!$B$5,2,IF('Análisis de Riesgos'!E237='Tablas AR'!$B$6,3,"")))</f>
        <v/>
      </c>
      <c r="G237" s="23"/>
      <c r="H237" t="str">
        <f>IF(G237='Tablas AR'!$B$10,1,IF('Análisis de Riesgos'!G237='Tablas AR'!$B$11,2,IF('Análisis de Riesgos'!G237='Tablas AR'!$B$12,3,"")))</f>
        <v/>
      </c>
      <c r="I237" t="str">
        <f t="shared" si="3"/>
        <v/>
      </c>
    </row>
    <row r="238" spans="2:9" x14ac:dyDescent="0.25">
      <c r="B238" s="24" t="str">
        <f>IFERROR(INDEX(Activos!$B$3:$C$11, MATCH(C238,Activos!$B$3:$B$11),2),"")</f>
        <v/>
      </c>
      <c r="C238" s="24"/>
      <c r="D238" s="24"/>
      <c r="E238" s="23"/>
      <c r="F238" t="str">
        <f>IF(E238='Tablas AR'!$B$4,1,IF('Análisis de Riesgos'!E238='Tablas AR'!$B$5,2,IF('Análisis de Riesgos'!E238='Tablas AR'!$B$6,3,"")))</f>
        <v/>
      </c>
      <c r="G238" s="23"/>
      <c r="H238" t="str">
        <f>IF(G238='Tablas AR'!$B$10,1,IF('Análisis de Riesgos'!G238='Tablas AR'!$B$11,2,IF('Análisis de Riesgos'!G238='Tablas AR'!$B$12,3,"")))</f>
        <v/>
      </c>
      <c r="I238" t="str">
        <f t="shared" si="3"/>
        <v/>
      </c>
    </row>
    <row r="239" spans="2:9" x14ac:dyDescent="0.25">
      <c r="B239" s="24" t="str">
        <f>IFERROR(INDEX(Activos!$B$3:$C$11, MATCH(C239,Activos!$B$3:$B$11),2),"")</f>
        <v/>
      </c>
      <c r="C239" s="24"/>
      <c r="D239" s="24"/>
      <c r="E239" s="23"/>
      <c r="F239" t="str">
        <f>IF(E239='Tablas AR'!$B$4,1,IF('Análisis de Riesgos'!E239='Tablas AR'!$B$5,2,IF('Análisis de Riesgos'!E239='Tablas AR'!$B$6,3,"")))</f>
        <v/>
      </c>
      <c r="G239" s="23"/>
      <c r="H239" t="str">
        <f>IF(G239='Tablas AR'!$B$10,1,IF('Análisis de Riesgos'!G239='Tablas AR'!$B$11,2,IF('Análisis de Riesgos'!G239='Tablas AR'!$B$12,3,"")))</f>
        <v/>
      </c>
      <c r="I239" t="str">
        <f t="shared" si="3"/>
        <v/>
      </c>
    </row>
    <row r="240" spans="2:9" x14ac:dyDescent="0.25">
      <c r="B240" s="24" t="str">
        <f>IFERROR(INDEX(Activos!$B$3:$C$11, MATCH(C240,Activos!$B$3:$B$11),2),"")</f>
        <v/>
      </c>
      <c r="C240" s="24"/>
      <c r="D240" s="24"/>
      <c r="E240" s="23"/>
      <c r="F240" t="str">
        <f>IF(E240='Tablas AR'!$B$4,1,IF('Análisis de Riesgos'!E240='Tablas AR'!$B$5,2,IF('Análisis de Riesgos'!E240='Tablas AR'!$B$6,3,"")))</f>
        <v/>
      </c>
      <c r="G240" s="23"/>
      <c r="H240" t="str">
        <f>IF(G240='Tablas AR'!$B$10,1,IF('Análisis de Riesgos'!G240='Tablas AR'!$B$11,2,IF('Análisis de Riesgos'!G240='Tablas AR'!$B$12,3,"")))</f>
        <v/>
      </c>
      <c r="I240" t="str">
        <f t="shared" si="3"/>
        <v/>
      </c>
    </row>
    <row r="241" spans="2:9" x14ac:dyDescent="0.25">
      <c r="B241" s="24" t="str">
        <f>IFERROR(INDEX(Activos!$B$3:$C$11, MATCH(C241,Activos!$B$3:$B$11),2),"")</f>
        <v/>
      </c>
      <c r="C241" s="24"/>
      <c r="D241" s="24"/>
      <c r="E241" s="23"/>
      <c r="F241" t="str">
        <f>IF(E241='Tablas AR'!$B$4,1,IF('Análisis de Riesgos'!E241='Tablas AR'!$B$5,2,IF('Análisis de Riesgos'!E241='Tablas AR'!$B$6,3,"")))</f>
        <v/>
      </c>
      <c r="G241" s="23"/>
      <c r="H241" t="str">
        <f>IF(G241='Tablas AR'!$B$10,1,IF('Análisis de Riesgos'!G241='Tablas AR'!$B$11,2,IF('Análisis de Riesgos'!G241='Tablas AR'!$B$12,3,"")))</f>
        <v/>
      </c>
      <c r="I241" t="str">
        <f t="shared" si="3"/>
        <v/>
      </c>
    </row>
    <row r="242" spans="2:9" x14ac:dyDescent="0.25">
      <c r="B242" s="24" t="str">
        <f>IFERROR(INDEX(Activos!$B$3:$C$11, MATCH(C242,Activos!$B$3:$B$11),2),"")</f>
        <v/>
      </c>
      <c r="C242" s="24"/>
      <c r="D242" s="24"/>
      <c r="E242" s="23"/>
      <c r="F242" t="str">
        <f>IF(E242='Tablas AR'!$B$4,1,IF('Análisis de Riesgos'!E242='Tablas AR'!$B$5,2,IF('Análisis de Riesgos'!E242='Tablas AR'!$B$6,3,"")))</f>
        <v/>
      </c>
      <c r="G242" s="23"/>
      <c r="H242" t="str">
        <f>IF(G242='Tablas AR'!$B$10,1,IF('Análisis de Riesgos'!G242='Tablas AR'!$B$11,2,IF('Análisis de Riesgos'!G242='Tablas AR'!$B$12,3,"")))</f>
        <v/>
      </c>
      <c r="I242" t="str">
        <f t="shared" si="3"/>
        <v/>
      </c>
    </row>
    <row r="243" spans="2:9" x14ac:dyDescent="0.25">
      <c r="B243" s="24" t="str">
        <f>IFERROR(INDEX(Activos!$B$3:$C$11, MATCH(C243,Activos!$B$3:$B$11),2),"")</f>
        <v/>
      </c>
      <c r="C243" s="24"/>
      <c r="D243" s="24"/>
      <c r="E243" s="23"/>
      <c r="F243" t="str">
        <f>IF(E243='Tablas AR'!$B$4,1,IF('Análisis de Riesgos'!E243='Tablas AR'!$B$5,2,IF('Análisis de Riesgos'!E243='Tablas AR'!$B$6,3,"")))</f>
        <v/>
      </c>
      <c r="G243" s="23"/>
      <c r="H243" t="str">
        <f>IF(G243='Tablas AR'!$B$10,1,IF('Análisis de Riesgos'!G243='Tablas AR'!$B$11,2,IF('Análisis de Riesgos'!G243='Tablas AR'!$B$12,3,"")))</f>
        <v/>
      </c>
      <c r="I243" t="str">
        <f t="shared" si="3"/>
        <v/>
      </c>
    </row>
    <row r="244" spans="2:9" x14ac:dyDescent="0.25">
      <c r="B244" s="24" t="str">
        <f>IFERROR(INDEX(Activos!$B$3:$C$11, MATCH(C244,Activos!$B$3:$B$11),2),"")</f>
        <v/>
      </c>
      <c r="C244" s="24"/>
      <c r="D244" s="24"/>
      <c r="E244" s="23"/>
      <c r="F244" t="str">
        <f>IF(E244='Tablas AR'!$B$4,1,IF('Análisis de Riesgos'!E244='Tablas AR'!$B$5,2,IF('Análisis de Riesgos'!E244='Tablas AR'!$B$6,3,"")))</f>
        <v/>
      </c>
      <c r="G244" s="23"/>
      <c r="H244" t="str">
        <f>IF(G244='Tablas AR'!$B$10,1,IF('Análisis de Riesgos'!G244='Tablas AR'!$B$11,2,IF('Análisis de Riesgos'!G244='Tablas AR'!$B$12,3,"")))</f>
        <v/>
      </c>
      <c r="I244" t="str">
        <f t="shared" si="3"/>
        <v/>
      </c>
    </row>
    <row r="245" spans="2:9" x14ac:dyDescent="0.25">
      <c r="B245" s="24" t="str">
        <f>IFERROR(INDEX(Activos!$B$3:$C$11, MATCH(C245,Activos!$B$3:$B$11),2),"")</f>
        <v/>
      </c>
      <c r="C245" s="24"/>
      <c r="D245" s="24"/>
      <c r="E245" s="23"/>
      <c r="F245" t="str">
        <f>IF(E245='Tablas AR'!$B$4,1,IF('Análisis de Riesgos'!E245='Tablas AR'!$B$5,2,IF('Análisis de Riesgos'!E245='Tablas AR'!$B$6,3,"")))</f>
        <v/>
      </c>
      <c r="G245" s="23"/>
      <c r="H245" t="str">
        <f>IF(G245='Tablas AR'!$B$10,1,IF('Análisis de Riesgos'!G245='Tablas AR'!$B$11,2,IF('Análisis de Riesgos'!G245='Tablas AR'!$B$12,3,"")))</f>
        <v/>
      </c>
      <c r="I245" t="str">
        <f t="shared" si="3"/>
        <v/>
      </c>
    </row>
    <row r="246" spans="2:9" x14ac:dyDescent="0.25">
      <c r="B246" s="24" t="str">
        <f>IFERROR(INDEX(Activos!$B$3:$C$11, MATCH(C246,Activos!$B$3:$B$11),2),"")</f>
        <v/>
      </c>
      <c r="C246" s="24"/>
      <c r="D246" s="24"/>
      <c r="E246" s="23"/>
      <c r="F246" t="str">
        <f>IF(E246='Tablas AR'!$B$4,1,IF('Análisis de Riesgos'!E246='Tablas AR'!$B$5,2,IF('Análisis de Riesgos'!E246='Tablas AR'!$B$6,3,"")))</f>
        <v/>
      </c>
      <c r="G246" s="23"/>
      <c r="H246" t="str">
        <f>IF(G246='Tablas AR'!$B$10,1,IF('Análisis de Riesgos'!G246='Tablas AR'!$B$11,2,IF('Análisis de Riesgos'!G246='Tablas AR'!$B$12,3,"")))</f>
        <v/>
      </c>
      <c r="I246" t="str">
        <f t="shared" si="3"/>
        <v/>
      </c>
    </row>
    <row r="247" spans="2:9" x14ac:dyDescent="0.25">
      <c r="B247" s="24" t="str">
        <f>IFERROR(INDEX(Activos!$B$3:$C$11, MATCH(C247,Activos!$B$3:$B$11),2),"")</f>
        <v/>
      </c>
      <c r="C247" s="24"/>
      <c r="D247" s="24"/>
      <c r="E247" s="23"/>
      <c r="F247" t="str">
        <f>IF(E247='Tablas AR'!$B$4,1,IF('Análisis de Riesgos'!E247='Tablas AR'!$B$5,2,IF('Análisis de Riesgos'!E247='Tablas AR'!$B$6,3,"")))</f>
        <v/>
      </c>
      <c r="G247" s="23"/>
      <c r="H247" t="str">
        <f>IF(G247='Tablas AR'!$B$10,1,IF('Análisis de Riesgos'!G247='Tablas AR'!$B$11,2,IF('Análisis de Riesgos'!G247='Tablas AR'!$B$12,3,"")))</f>
        <v/>
      </c>
      <c r="I247" t="str">
        <f t="shared" si="3"/>
        <v/>
      </c>
    </row>
    <row r="248" spans="2:9" x14ac:dyDescent="0.25">
      <c r="B248" s="24" t="str">
        <f>IFERROR(INDEX(Activos!$B$3:$C$11, MATCH(C248,Activos!$B$3:$B$11),2),"")</f>
        <v/>
      </c>
      <c r="C248" s="24"/>
      <c r="D248" s="24"/>
      <c r="E248" s="23"/>
      <c r="F248" t="str">
        <f>IF(E248='Tablas AR'!$B$4,1,IF('Análisis de Riesgos'!E248='Tablas AR'!$B$5,2,IF('Análisis de Riesgos'!E248='Tablas AR'!$B$6,3,"")))</f>
        <v/>
      </c>
      <c r="G248" s="23"/>
      <c r="H248" t="str">
        <f>IF(G248='Tablas AR'!$B$10,1,IF('Análisis de Riesgos'!G248='Tablas AR'!$B$11,2,IF('Análisis de Riesgos'!G248='Tablas AR'!$B$12,3,"")))</f>
        <v/>
      </c>
      <c r="I248" t="str">
        <f t="shared" si="3"/>
        <v/>
      </c>
    </row>
    <row r="249" spans="2:9" x14ac:dyDescent="0.25">
      <c r="B249" s="24" t="str">
        <f>IFERROR(INDEX(Activos!$B$3:$C$11, MATCH(C249,Activos!$B$3:$B$11),2),"")</f>
        <v/>
      </c>
      <c r="C249" s="24"/>
      <c r="D249" s="24"/>
      <c r="E249" s="23"/>
      <c r="F249" t="str">
        <f>IF(E249='Tablas AR'!$B$4,1,IF('Análisis de Riesgos'!E249='Tablas AR'!$B$5,2,IF('Análisis de Riesgos'!E249='Tablas AR'!$B$6,3,"")))</f>
        <v/>
      </c>
      <c r="G249" s="23"/>
      <c r="H249" t="str">
        <f>IF(G249='Tablas AR'!$B$10,1,IF('Análisis de Riesgos'!G249='Tablas AR'!$B$11,2,IF('Análisis de Riesgos'!G249='Tablas AR'!$B$12,3,"")))</f>
        <v/>
      </c>
      <c r="I249" t="str">
        <f t="shared" si="3"/>
        <v/>
      </c>
    </row>
    <row r="250" spans="2:9" x14ac:dyDescent="0.25">
      <c r="B250" s="24" t="str">
        <f>IFERROR(INDEX(Activos!$B$3:$C$11, MATCH(C250,Activos!$B$3:$B$11),2),"")</f>
        <v/>
      </c>
      <c r="C250" s="24"/>
      <c r="D250" s="24"/>
      <c r="E250" s="23"/>
      <c r="F250" t="str">
        <f>IF(E250='Tablas AR'!$B$4,1,IF('Análisis de Riesgos'!E250='Tablas AR'!$B$5,2,IF('Análisis de Riesgos'!E250='Tablas AR'!$B$6,3,"")))</f>
        <v/>
      </c>
      <c r="G250" s="23"/>
      <c r="H250" t="str">
        <f>IF(G250='Tablas AR'!$B$10,1,IF('Análisis de Riesgos'!G250='Tablas AR'!$B$11,2,IF('Análisis de Riesgos'!G250='Tablas AR'!$B$12,3,"")))</f>
        <v/>
      </c>
      <c r="I250" t="str">
        <f t="shared" si="3"/>
        <v/>
      </c>
    </row>
    <row r="251" spans="2:9" x14ac:dyDescent="0.25">
      <c r="B251" s="24" t="str">
        <f>IFERROR(INDEX(Activos!$B$3:$C$11, MATCH(C251,Activos!$B$3:$B$11),2),"")</f>
        <v/>
      </c>
      <c r="C251" s="24"/>
      <c r="D251" s="24"/>
      <c r="E251" s="23"/>
      <c r="F251" t="str">
        <f>IF(E251='Tablas AR'!$B$4,1,IF('Análisis de Riesgos'!E251='Tablas AR'!$B$5,2,IF('Análisis de Riesgos'!E251='Tablas AR'!$B$6,3,"")))</f>
        <v/>
      </c>
      <c r="G251" s="23"/>
      <c r="H251" t="str">
        <f>IF(G251='Tablas AR'!$B$10,1,IF('Análisis de Riesgos'!G251='Tablas AR'!$B$11,2,IF('Análisis de Riesgos'!G251='Tablas AR'!$B$12,3,"")))</f>
        <v/>
      </c>
      <c r="I251" t="str">
        <f t="shared" si="3"/>
        <v/>
      </c>
    </row>
    <row r="252" spans="2:9" x14ac:dyDescent="0.25">
      <c r="B252" s="24" t="str">
        <f>IFERROR(INDEX(Activos!$B$3:$C$11, MATCH(C252,Activos!$B$3:$B$11),2),"")</f>
        <v/>
      </c>
      <c r="C252" s="24"/>
      <c r="D252" s="24"/>
      <c r="E252" s="23"/>
      <c r="F252" t="str">
        <f>IF(E252='Tablas AR'!$B$4,1,IF('Análisis de Riesgos'!E252='Tablas AR'!$B$5,2,IF('Análisis de Riesgos'!E252='Tablas AR'!$B$6,3,"")))</f>
        <v/>
      </c>
      <c r="G252" s="23"/>
      <c r="H252" t="str">
        <f>IF(G252='Tablas AR'!$B$10,1,IF('Análisis de Riesgos'!G252='Tablas AR'!$B$11,2,IF('Análisis de Riesgos'!G252='Tablas AR'!$B$12,3,"")))</f>
        <v/>
      </c>
      <c r="I252" t="str">
        <f t="shared" si="3"/>
        <v/>
      </c>
    </row>
    <row r="253" spans="2:9" x14ac:dyDescent="0.25">
      <c r="B253" s="24" t="str">
        <f>IFERROR(INDEX(Activos!$B$3:$C$11, MATCH(C253,Activos!$B$3:$B$11),2),"")</f>
        <v/>
      </c>
      <c r="C253" s="24"/>
      <c r="D253" s="24"/>
      <c r="E253" s="23"/>
      <c r="F253" t="str">
        <f>IF(E253='Tablas AR'!$B$4,1,IF('Análisis de Riesgos'!E253='Tablas AR'!$B$5,2,IF('Análisis de Riesgos'!E253='Tablas AR'!$B$6,3,"")))</f>
        <v/>
      </c>
      <c r="G253" s="23"/>
      <c r="H253" t="str">
        <f>IF(G253='Tablas AR'!$B$10,1,IF('Análisis de Riesgos'!G253='Tablas AR'!$B$11,2,IF('Análisis de Riesgos'!G253='Tablas AR'!$B$12,3,"")))</f>
        <v/>
      </c>
      <c r="I253" t="str">
        <f t="shared" si="3"/>
        <v/>
      </c>
    </row>
    <row r="254" spans="2:9" x14ac:dyDescent="0.25">
      <c r="B254" s="24" t="str">
        <f>IFERROR(INDEX(Activos!$B$3:$C$11, MATCH(C254,Activos!$B$3:$B$11),2),"")</f>
        <v/>
      </c>
      <c r="C254" s="24"/>
      <c r="D254" s="24"/>
      <c r="E254" s="23"/>
      <c r="F254" t="str">
        <f>IF(E254='Tablas AR'!$B$4,1,IF('Análisis de Riesgos'!E254='Tablas AR'!$B$5,2,IF('Análisis de Riesgos'!E254='Tablas AR'!$B$6,3,"")))</f>
        <v/>
      </c>
      <c r="G254" s="23"/>
      <c r="H254" t="str">
        <f>IF(G254='Tablas AR'!$B$10,1,IF('Análisis de Riesgos'!G254='Tablas AR'!$B$11,2,IF('Análisis de Riesgos'!G254='Tablas AR'!$B$12,3,"")))</f>
        <v/>
      </c>
      <c r="I254" t="str">
        <f t="shared" si="3"/>
        <v/>
      </c>
    </row>
    <row r="255" spans="2:9" x14ac:dyDescent="0.25">
      <c r="B255" s="24" t="str">
        <f>IFERROR(INDEX(Activos!$B$3:$C$11, MATCH(C255,Activos!$B$3:$B$11),2),"")</f>
        <v/>
      </c>
      <c r="C255" s="24"/>
      <c r="D255" s="24"/>
      <c r="E255" s="23"/>
      <c r="F255" t="str">
        <f>IF(E255='Tablas AR'!$B$4,1,IF('Análisis de Riesgos'!E255='Tablas AR'!$B$5,2,IF('Análisis de Riesgos'!E255='Tablas AR'!$B$6,3,"")))</f>
        <v/>
      </c>
      <c r="G255" s="23"/>
      <c r="H255" t="str">
        <f>IF(G255='Tablas AR'!$B$10,1,IF('Análisis de Riesgos'!G255='Tablas AR'!$B$11,2,IF('Análisis de Riesgos'!G255='Tablas AR'!$B$12,3,"")))</f>
        <v/>
      </c>
      <c r="I255" t="str">
        <f t="shared" si="3"/>
        <v/>
      </c>
    </row>
    <row r="256" spans="2:9" x14ac:dyDescent="0.25">
      <c r="B256" s="24" t="str">
        <f>IFERROR(INDEX(Activos!$B$3:$C$11, MATCH(C256,Activos!$B$3:$B$11),2),"")</f>
        <v/>
      </c>
      <c r="C256" s="24"/>
      <c r="D256" s="24"/>
      <c r="E256" s="23"/>
      <c r="F256" t="str">
        <f>IF(E256='Tablas AR'!$B$4,1,IF('Análisis de Riesgos'!E256='Tablas AR'!$B$5,2,IF('Análisis de Riesgos'!E256='Tablas AR'!$B$6,3,"")))</f>
        <v/>
      </c>
      <c r="G256" s="23"/>
      <c r="H256" t="str">
        <f>IF(G256='Tablas AR'!$B$10,1,IF('Análisis de Riesgos'!G256='Tablas AR'!$B$11,2,IF('Análisis de Riesgos'!G256='Tablas AR'!$B$12,3,"")))</f>
        <v/>
      </c>
      <c r="I256" t="str">
        <f t="shared" si="3"/>
        <v/>
      </c>
    </row>
    <row r="257" spans="2:9" x14ac:dyDescent="0.25">
      <c r="B257" s="24" t="str">
        <f>IFERROR(INDEX(Activos!$B$3:$C$11, MATCH(C257,Activos!$B$3:$B$11),2),"")</f>
        <v/>
      </c>
      <c r="C257" s="24"/>
      <c r="D257" s="24"/>
      <c r="E257" s="23"/>
      <c r="F257" t="str">
        <f>IF(E257='Tablas AR'!$B$4,1,IF('Análisis de Riesgos'!E257='Tablas AR'!$B$5,2,IF('Análisis de Riesgos'!E257='Tablas AR'!$B$6,3,"")))</f>
        <v/>
      </c>
      <c r="G257" s="23"/>
      <c r="H257" t="str">
        <f>IF(G257='Tablas AR'!$B$10,1,IF('Análisis de Riesgos'!G257='Tablas AR'!$B$11,2,IF('Análisis de Riesgos'!G257='Tablas AR'!$B$12,3,"")))</f>
        <v/>
      </c>
      <c r="I257" t="str">
        <f t="shared" si="3"/>
        <v/>
      </c>
    </row>
    <row r="258" spans="2:9" x14ac:dyDescent="0.25">
      <c r="B258" s="24" t="str">
        <f>IFERROR(INDEX(Activos!$B$3:$C$11, MATCH(C258,Activos!$B$3:$B$11),2),"")</f>
        <v/>
      </c>
      <c r="C258" s="24"/>
      <c r="D258" s="24"/>
      <c r="E258" s="23"/>
      <c r="F258" t="str">
        <f>IF(E258='Tablas AR'!$B$4,1,IF('Análisis de Riesgos'!E258='Tablas AR'!$B$5,2,IF('Análisis de Riesgos'!E258='Tablas AR'!$B$6,3,"")))</f>
        <v/>
      </c>
      <c r="G258" s="23"/>
      <c r="H258" t="str">
        <f>IF(G258='Tablas AR'!$B$10,1,IF('Análisis de Riesgos'!G258='Tablas AR'!$B$11,2,IF('Análisis de Riesgos'!G258='Tablas AR'!$B$12,3,"")))</f>
        <v/>
      </c>
      <c r="I258" t="str">
        <f t="shared" si="3"/>
        <v/>
      </c>
    </row>
    <row r="259" spans="2:9" x14ac:dyDescent="0.25">
      <c r="B259" s="24" t="str">
        <f>IFERROR(INDEX(Activos!$B$3:$C$11, MATCH(C259,Activos!$B$3:$B$11),2),"")</f>
        <v/>
      </c>
      <c r="C259" s="24"/>
      <c r="D259" s="24"/>
      <c r="E259" s="23"/>
      <c r="F259" t="str">
        <f>IF(E259='Tablas AR'!$B$4,1,IF('Análisis de Riesgos'!E259='Tablas AR'!$B$5,2,IF('Análisis de Riesgos'!E259='Tablas AR'!$B$6,3,"")))</f>
        <v/>
      </c>
      <c r="G259" s="23"/>
      <c r="H259" t="str">
        <f>IF(G259='Tablas AR'!$B$10,1,IF('Análisis de Riesgos'!G259='Tablas AR'!$B$11,2,IF('Análisis de Riesgos'!G259='Tablas AR'!$B$12,3,"")))</f>
        <v/>
      </c>
      <c r="I259" t="str">
        <f t="shared" si="3"/>
        <v/>
      </c>
    </row>
    <row r="260" spans="2:9" x14ac:dyDescent="0.25">
      <c r="B260" s="24" t="str">
        <f>IFERROR(INDEX(Activos!$B$3:$C$11, MATCH(C260,Activos!$B$3:$B$11),2),"")</f>
        <v/>
      </c>
      <c r="C260" s="24"/>
      <c r="D260" s="24"/>
      <c r="E260" s="23"/>
      <c r="F260" t="str">
        <f>IF(E260='Tablas AR'!$B$4,1,IF('Análisis de Riesgos'!E260='Tablas AR'!$B$5,2,IF('Análisis de Riesgos'!E260='Tablas AR'!$B$6,3,"")))</f>
        <v/>
      </c>
      <c r="G260" s="23"/>
      <c r="H260" t="str">
        <f>IF(G260='Tablas AR'!$B$10,1,IF('Análisis de Riesgos'!G260='Tablas AR'!$B$11,2,IF('Análisis de Riesgos'!G260='Tablas AR'!$B$12,3,"")))</f>
        <v/>
      </c>
      <c r="I260" t="str">
        <f t="shared" ref="I260:I323" si="4" xml:space="preserve"> IFERROR(F260*H260,"")</f>
        <v/>
      </c>
    </row>
    <row r="261" spans="2:9" x14ac:dyDescent="0.25">
      <c r="B261" s="24" t="str">
        <f>IFERROR(INDEX(Activos!$B$3:$C$11, MATCH(C261,Activos!$B$3:$B$11),2),"")</f>
        <v/>
      </c>
      <c r="C261" s="24"/>
      <c r="D261" s="24"/>
      <c r="E261" s="23"/>
      <c r="F261" t="str">
        <f>IF(E261='Tablas AR'!$B$4,1,IF('Análisis de Riesgos'!E261='Tablas AR'!$B$5,2,IF('Análisis de Riesgos'!E261='Tablas AR'!$B$6,3,"")))</f>
        <v/>
      </c>
      <c r="G261" s="23"/>
      <c r="H261" t="str">
        <f>IF(G261='Tablas AR'!$B$10,1,IF('Análisis de Riesgos'!G261='Tablas AR'!$B$11,2,IF('Análisis de Riesgos'!G261='Tablas AR'!$B$12,3,"")))</f>
        <v/>
      </c>
      <c r="I261" t="str">
        <f t="shared" si="4"/>
        <v/>
      </c>
    </row>
    <row r="262" spans="2:9" x14ac:dyDescent="0.25">
      <c r="B262" s="24" t="str">
        <f>IFERROR(INDEX(Activos!$B$3:$C$11, MATCH(C262,Activos!$B$3:$B$11),2),"")</f>
        <v/>
      </c>
      <c r="C262" s="24"/>
      <c r="D262" s="24"/>
      <c r="E262" s="23"/>
      <c r="F262" t="str">
        <f>IF(E262='Tablas AR'!$B$4,1,IF('Análisis de Riesgos'!E262='Tablas AR'!$B$5,2,IF('Análisis de Riesgos'!E262='Tablas AR'!$B$6,3,"")))</f>
        <v/>
      </c>
      <c r="G262" s="23"/>
      <c r="H262" t="str">
        <f>IF(G262='Tablas AR'!$B$10,1,IF('Análisis de Riesgos'!G262='Tablas AR'!$B$11,2,IF('Análisis de Riesgos'!G262='Tablas AR'!$B$12,3,"")))</f>
        <v/>
      </c>
      <c r="I262" t="str">
        <f t="shared" si="4"/>
        <v/>
      </c>
    </row>
    <row r="263" spans="2:9" x14ac:dyDescent="0.25">
      <c r="B263" s="24" t="str">
        <f>IFERROR(INDEX(Activos!$B$3:$C$11, MATCH(C263,Activos!$B$3:$B$11),2),"")</f>
        <v/>
      </c>
      <c r="C263" s="24"/>
      <c r="D263" s="24"/>
      <c r="E263" s="23"/>
      <c r="F263" t="str">
        <f>IF(E263='Tablas AR'!$B$4,1,IF('Análisis de Riesgos'!E263='Tablas AR'!$B$5,2,IF('Análisis de Riesgos'!E263='Tablas AR'!$B$6,3,"")))</f>
        <v/>
      </c>
      <c r="G263" s="23"/>
      <c r="H263" t="str">
        <f>IF(G263='Tablas AR'!$B$10,1,IF('Análisis de Riesgos'!G263='Tablas AR'!$B$11,2,IF('Análisis de Riesgos'!G263='Tablas AR'!$B$12,3,"")))</f>
        <v/>
      </c>
      <c r="I263" t="str">
        <f t="shared" si="4"/>
        <v/>
      </c>
    </row>
    <row r="264" spans="2:9" x14ac:dyDescent="0.25">
      <c r="B264" s="24" t="str">
        <f>IFERROR(INDEX(Activos!$B$3:$C$11, MATCH(C264,Activos!$B$3:$B$11),2),"")</f>
        <v/>
      </c>
      <c r="C264" s="24"/>
      <c r="D264" s="24"/>
      <c r="E264" s="23"/>
      <c r="F264" t="str">
        <f>IF(E264='Tablas AR'!$B$4,1,IF('Análisis de Riesgos'!E264='Tablas AR'!$B$5,2,IF('Análisis de Riesgos'!E264='Tablas AR'!$B$6,3,"")))</f>
        <v/>
      </c>
      <c r="G264" s="23"/>
      <c r="H264" t="str">
        <f>IF(G264='Tablas AR'!$B$10,1,IF('Análisis de Riesgos'!G264='Tablas AR'!$B$11,2,IF('Análisis de Riesgos'!G264='Tablas AR'!$B$12,3,"")))</f>
        <v/>
      </c>
      <c r="I264" t="str">
        <f t="shared" si="4"/>
        <v/>
      </c>
    </row>
    <row r="265" spans="2:9" x14ac:dyDescent="0.25">
      <c r="B265" s="24" t="str">
        <f>IFERROR(INDEX(Activos!$B$3:$C$11, MATCH(C265,Activos!$B$3:$B$11),2),"")</f>
        <v/>
      </c>
      <c r="C265" s="24"/>
      <c r="D265" s="24"/>
      <c r="E265" s="23"/>
      <c r="F265" t="str">
        <f>IF(E265='Tablas AR'!$B$4,1,IF('Análisis de Riesgos'!E265='Tablas AR'!$B$5,2,IF('Análisis de Riesgos'!E265='Tablas AR'!$B$6,3,"")))</f>
        <v/>
      </c>
      <c r="G265" s="23"/>
      <c r="H265" t="str">
        <f>IF(G265='Tablas AR'!$B$10,1,IF('Análisis de Riesgos'!G265='Tablas AR'!$B$11,2,IF('Análisis de Riesgos'!G265='Tablas AR'!$B$12,3,"")))</f>
        <v/>
      </c>
      <c r="I265" t="str">
        <f t="shared" si="4"/>
        <v/>
      </c>
    </row>
    <row r="266" spans="2:9" x14ac:dyDescent="0.25">
      <c r="B266" s="24" t="str">
        <f>IFERROR(INDEX(Activos!$B$3:$C$11, MATCH(C266,Activos!$B$3:$B$11),2),"")</f>
        <v/>
      </c>
      <c r="C266" s="24"/>
      <c r="D266" s="24"/>
      <c r="E266" s="23"/>
      <c r="F266" t="str">
        <f>IF(E266='Tablas AR'!$B$4,1,IF('Análisis de Riesgos'!E266='Tablas AR'!$B$5,2,IF('Análisis de Riesgos'!E266='Tablas AR'!$B$6,3,"")))</f>
        <v/>
      </c>
      <c r="G266" s="23"/>
      <c r="H266" t="str">
        <f>IF(G266='Tablas AR'!$B$10,1,IF('Análisis de Riesgos'!G266='Tablas AR'!$B$11,2,IF('Análisis de Riesgos'!G266='Tablas AR'!$B$12,3,"")))</f>
        <v/>
      </c>
      <c r="I266" t="str">
        <f t="shared" si="4"/>
        <v/>
      </c>
    </row>
    <row r="267" spans="2:9" x14ac:dyDescent="0.25">
      <c r="B267" s="24" t="str">
        <f>IFERROR(INDEX(Activos!$B$3:$C$11, MATCH(C267,Activos!$B$3:$B$11),2),"")</f>
        <v/>
      </c>
      <c r="C267" s="24"/>
      <c r="D267" s="24"/>
      <c r="E267" s="23"/>
      <c r="F267" t="str">
        <f>IF(E267='Tablas AR'!$B$4,1,IF('Análisis de Riesgos'!E267='Tablas AR'!$B$5,2,IF('Análisis de Riesgos'!E267='Tablas AR'!$B$6,3,"")))</f>
        <v/>
      </c>
      <c r="G267" s="23"/>
      <c r="H267" t="str">
        <f>IF(G267='Tablas AR'!$B$10,1,IF('Análisis de Riesgos'!G267='Tablas AR'!$B$11,2,IF('Análisis de Riesgos'!G267='Tablas AR'!$B$12,3,"")))</f>
        <v/>
      </c>
      <c r="I267" t="str">
        <f t="shared" si="4"/>
        <v/>
      </c>
    </row>
    <row r="268" spans="2:9" x14ac:dyDescent="0.25">
      <c r="B268" s="24" t="str">
        <f>IFERROR(INDEX(Activos!$B$3:$C$11, MATCH(C268,Activos!$B$3:$B$11),2),"")</f>
        <v/>
      </c>
      <c r="C268" s="24"/>
      <c r="D268" s="24"/>
      <c r="E268" s="23"/>
      <c r="F268" t="str">
        <f>IF(E268='Tablas AR'!$B$4,1,IF('Análisis de Riesgos'!E268='Tablas AR'!$B$5,2,IF('Análisis de Riesgos'!E268='Tablas AR'!$B$6,3,"")))</f>
        <v/>
      </c>
      <c r="G268" s="23"/>
      <c r="H268" t="str">
        <f>IF(G268='Tablas AR'!$B$10,1,IF('Análisis de Riesgos'!G268='Tablas AR'!$B$11,2,IF('Análisis de Riesgos'!G268='Tablas AR'!$B$12,3,"")))</f>
        <v/>
      </c>
      <c r="I268" t="str">
        <f t="shared" si="4"/>
        <v/>
      </c>
    </row>
    <row r="269" spans="2:9" x14ac:dyDescent="0.25">
      <c r="B269" s="24" t="str">
        <f>IFERROR(INDEX(Activos!$B$3:$C$11, MATCH(C269,Activos!$B$3:$B$11),2),"")</f>
        <v/>
      </c>
      <c r="C269" s="24"/>
      <c r="D269" s="24"/>
      <c r="E269" s="23"/>
      <c r="F269" t="str">
        <f>IF(E269='Tablas AR'!$B$4,1,IF('Análisis de Riesgos'!E269='Tablas AR'!$B$5,2,IF('Análisis de Riesgos'!E269='Tablas AR'!$B$6,3,"")))</f>
        <v/>
      </c>
      <c r="G269" s="23"/>
      <c r="H269" t="str">
        <f>IF(G269='Tablas AR'!$B$10,1,IF('Análisis de Riesgos'!G269='Tablas AR'!$B$11,2,IF('Análisis de Riesgos'!G269='Tablas AR'!$B$12,3,"")))</f>
        <v/>
      </c>
      <c r="I269" t="str">
        <f t="shared" si="4"/>
        <v/>
      </c>
    </row>
    <row r="270" spans="2:9" x14ac:dyDescent="0.25">
      <c r="B270" s="24" t="str">
        <f>IFERROR(INDEX(Activos!$B$3:$C$11, MATCH(C270,Activos!$B$3:$B$11),2),"")</f>
        <v/>
      </c>
      <c r="C270" s="24"/>
      <c r="D270" s="24"/>
      <c r="E270" s="23"/>
      <c r="F270" t="str">
        <f>IF(E270='Tablas AR'!$B$4,1,IF('Análisis de Riesgos'!E270='Tablas AR'!$B$5,2,IF('Análisis de Riesgos'!E270='Tablas AR'!$B$6,3,"")))</f>
        <v/>
      </c>
      <c r="G270" s="23"/>
      <c r="H270" t="str">
        <f>IF(G270='Tablas AR'!$B$10,1,IF('Análisis de Riesgos'!G270='Tablas AR'!$B$11,2,IF('Análisis de Riesgos'!G270='Tablas AR'!$B$12,3,"")))</f>
        <v/>
      </c>
      <c r="I270" t="str">
        <f t="shared" si="4"/>
        <v/>
      </c>
    </row>
    <row r="271" spans="2:9" x14ac:dyDescent="0.25">
      <c r="B271" s="24" t="str">
        <f>IFERROR(INDEX(Activos!$B$3:$C$11, MATCH(C271,Activos!$B$3:$B$11),2),"")</f>
        <v/>
      </c>
      <c r="C271" s="24"/>
      <c r="D271" s="24"/>
      <c r="E271" s="23"/>
      <c r="F271" t="str">
        <f>IF(E271='Tablas AR'!$B$4,1,IF('Análisis de Riesgos'!E271='Tablas AR'!$B$5,2,IF('Análisis de Riesgos'!E271='Tablas AR'!$B$6,3,"")))</f>
        <v/>
      </c>
      <c r="G271" s="23"/>
      <c r="H271" t="str">
        <f>IF(G271='Tablas AR'!$B$10,1,IF('Análisis de Riesgos'!G271='Tablas AR'!$B$11,2,IF('Análisis de Riesgos'!G271='Tablas AR'!$B$12,3,"")))</f>
        <v/>
      </c>
      <c r="I271" t="str">
        <f t="shared" si="4"/>
        <v/>
      </c>
    </row>
    <row r="272" spans="2:9" x14ac:dyDescent="0.25">
      <c r="B272" s="24" t="str">
        <f>IFERROR(INDEX(Activos!$B$3:$C$11, MATCH(C272,Activos!$B$3:$B$11),2),"")</f>
        <v/>
      </c>
      <c r="C272" s="24"/>
      <c r="D272" s="24"/>
      <c r="E272" s="23"/>
      <c r="F272" t="str">
        <f>IF(E272='Tablas AR'!$B$4,1,IF('Análisis de Riesgos'!E272='Tablas AR'!$B$5,2,IF('Análisis de Riesgos'!E272='Tablas AR'!$B$6,3,"")))</f>
        <v/>
      </c>
      <c r="G272" s="23"/>
      <c r="H272" t="str">
        <f>IF(G272='Tablas AR'!$B$10,1,IF('Análisis de Riesgos'!G272='Tablas AR'!$B$11,2,IF('Análisis de Riesgos'!G272='Tablas AR'!$B$12,3,"")))</f>
        <v/>
      </c>
      <c r="I272" t="str">
        <f t="shared" si="4"/>
        <v/>
      </c>
    </row>
    <row r="273" spans="2:9" x14ac:dyDescent="0.25">
      <c r="B273" s="24" t="str">
        <f>IFERROR(INDEX(Activos!$B$3:$C$11, MATCH(C273,Activos!$B$3:$B$11),2),"")</f>
        <v/>
      </c>
      <c r="C273" s="24"/>
      <c r="D273" s="24"/>
      <c r="E273" s="23"/>
      <c r="F273" t="str">
        <f>IF(E273='Tablas AR'!$B$4,1,IF('Análisis de Riesgos'!E273='Tablas AR'!$B$5,2,IF('Análisis de Riesgos'!E273='Tablas AR'!$B$6,3,"")))</f>
        <v/>
      </c>
      <c r="G273" s="23"/>
      <c r="H273" t="str">
        <f>IF(G273='Tablas AR'!$B$10,1,IF('Análisis de Riesgos'!G273='Tablas AR'!$B$11,2,IF('Análisis de Riesgos'!G273='Tablas AR'!$B$12,3,"")))</f>
        <v/>
      </c>
      <c r="I273" t="str">
        <f t="shared" si="4"/>
        <v/>
      </c>
    </row>
    <row r="274" spans="2:9" x14ac:dyDescent="0.25">
      <c r="B274" s="24" t="str">
        <f>IFERROR(INDEX(Activos!$B$3:$C$11, MATCH(C274,Activos!$B$3:$B$11),2),"")</f>
        <v/>
      </c>
      <c r="C274" s="24"/>
      <c r="D274" s="24"/>
      <c r="E274" s="23"/>
      <c r="F274" t="str">
        <f>IF(E274='Tablas AR'!$B$4,1,IF('Análisis de Riesgos'!E274='Tablas AR'!$B$5,2,IF('Análisis de Riesgos'!E274='Tablas AR'!$B$6,3,"")))</f>
        <v/>
      </c>
      <c r="G274" s="23"/>
      <c r="H274" t="str">
        <f>IF(G274='Tablas AR'!$B$10,1,IF('Análisis de Riesgos'!G274='Tablas AR'!$B$11,2,IF('Análisis de Riesgos'!G274='Tablas AR'!$B$12,3,"")))</f>
        <v/>
      </c>
      <c r="I274" t="str">
        <f t="shared" si="4"/>
        <v/>
      </c>
    </row>
    <row r="275" spans="2:9" x14ac:dyDescent="0.25">
      <c r="B275" s="24" t="str">
        <f>IFERROR(INDEX(Activos!$B$3:$C$11, MATCH(C275,Activos!$B$3:$B$11),2),"")</f>
        <v/>
      </c>
      <c r="C275" s="24"/>
      <c r="D275" s="24"/>
      <c r="E275" s="23"/>
      <c r="F275" t="str">
        <f>IF(E275='Tablas AR'!$B$4,1,IF('Análisis de Riesgos'!E275='Tablas AR'!$B$5,2,IF('Análisis de Riesgos'!E275='Tablas AR'!$B$6,3,"")))</f>
        <v/>
      </c>
      <c r="G275" s="23"/>
      <c r="H275" t="str">
        <f>IF(G275='Tablas AR'!$B$10,1,IF('Análisis de Riesgos'!G275='Tablas AR'!$B$11,2,IF('Análisis de Riesgos'!G275='Tablas AR'!$B$12,3,"")))</f>
        <v/>
      </c>
      <c r="I275" t="str">
        <f t="shared" si="4"/>
        <v/>
      </c>
    </row>
    <row r="276" spans="2:9" x14ac:dyDescent="0.25">
      <c r="B276" s="24" t="str">
        <f>IFERROR(INDEX(Activos!$B$3:$C$11, MATCH(C276,Activos!$B$3:$B$11),2),"")</f>
        <v/>
      </c>
      <c r="C276" s="24"/>
      <c r="D276" s="24"/>
      <c r="E276" s="23"/>
      <c r="F276" t="str">
        <f>IF(E276='Tablas AR'!$B$4,1,IF('Análisis de Riesgos'!E276='Tablas AR'!$B$5,2,IF('Análisis de Riesgos'!E276='Tablas AR'!$B$6,3,"")))</f>
        <v/>
      </c>
      <c r="G276" s="23"/>
      <c r="H276" t="str">
        <f>IF(G276='Tablas AR'!$B$10,1,IF('Análisis de Riesgos'!G276='Tablas AR'!$B$11,2,IF('Análisis de Riesgos'!G276='Tablas AR'!$B$12,3,"")))</f>
        <v/>
      </c>
      <c r="I276" t="str">
        <f t="shared" si="4"/>
        <v/>
      </c>
    </row>
    <row r="277" spans="2:9" x14ac:dyDescent="0.25">
      <c r="B277" s="24" t="str">
        <f>IFERROR(INDEX(Activos!$B$3:$C$11, MATCH(C277,Activos!$B$3:$B$11),2),"")</f>
        <v/>
      </c>
      <c r="C277" s="24"/>
      <c r="D277" s="24"/>
      <c r="E277" s="23"/>
      <c r="F277" t="str">
        <f>IF(E277='Tablas AR'!$B$4,1,IF('Análisis de Riesgos'!E277='Tablas AR'!$B$5,2,IF('Análisis de Riesgos'!E277='Tablas AR'!$B$6,3,"")))</f>
        <v/>
      </c>
      <c r="G277" s="23"/>
      <c r="H277" t="str">
        <f>IF(G277='Tablas AR'!$B$10,1,IF('Análisis de Riesgos'!G277='Tablas AR'!$B$11,2,IF('Análisis de Riesgos'!G277='Tablas AR'!$B$12,3,"")))</f>
        <v/>
      </c>
      <c r="I277" t="str">
        <f t="shared" si="4"/>
        <v/>
      </c>
    </row>
    <row r="278" spans="2:9" x14ac:dyDescent="0.25">
      <c r="B278" s="24" t="str">
        <f>IFERROR(INDEX(Activos!$B$3:$C$11, MATCH(C278,Activos!$B$3:$B$11),2),"")</f>
        <v/>
      </c>
      <c r="C278" s="24"/>
      <c r="D278" s="24"/>
      <c r="E278" s="23"/>
      <c r="F278" t="str">
        <f>IF(E278='Tablas AR'!$B$4,1,IF('Análisis de Riesgos'!E278='Tablas AR'!$B$5,2,IF('Análisis de Riesgos'!E278='Tablas AR'!$B$6,3,"")))</f>
        <v/>
      </c>
      <c r="G278" s="23"/>
      <c r="H278" t="str">
        <f>IF(G278='Tablas AR'!$B$10,1,IF('Análisis de Riesgos'!G278='Tablas AR'!$B$11,2,IF('Análisis de Riesgos'!G278='Tablas AR'!$B$12,3,"")))</f>
        <v/>
      </c>
      <c r="I278" t="str">
        <f t="shared" si="4"/>
        <v/>
      </c>
    </row>
    <row r="279" spans="2:9" x14ac:dyDescent="0.25">
      <c r="B279" s="24" t="str">
        <f>IFERROR(INDEX(Activos!$B$3:$C$11, MATCH(C279,Activos!$B$3:$B$11),2),"")</f>
        <v/>
      </c>
      <c r="C279" s="24"/>
      <c r="D279" s="24"/>
      <c r="E279" s="23"/>
      <c r="F279" t="str">
        <f>IF(E279='Tablas AR'!$B$4,1,IF('Análisis de Riesgos'!E279='Tablas AR'!$B$5,2,IF('Análisis de Riesgos'!E279='Tablas AR'!$B$6,3,"")))</f>
        <v/>
      </c>
      <c r="G279" s="23"/>
      <c r="H279" t="str">
        <f>IF(G279='Tablas AR'!$B$10,1,IF('Análisis de Riesgos'!G279='Tablas AR'!$B$11,2,IF('Análisis de Riesgos'!G279='Tablas AR'!$B$12,3,"")))</f>
        <v/>
      </c>
      <c r="I279" t="str">
        <f t="shared" si="4"/>
        <v/>
      </c>
    </row>
    <row r="280" spans="2:9" x14ac:dyDescent="0.25">
      <c r="B280" s="24" t="str">
        <f>IFERROR(INDEX(Activos!$B$3:$C$11, MATCH(C280,Activos!$B$3:$B$11),2),"")</f>
        <v/>
      </c>
      <c r="C280" s="24"/>
      <c r="D280" s="24"/>
      <c r="E280" s="23"/>
      <c r="F280" t="str">
        <f>IF(E280='Tablas AR'!$B$4,1,IF('Análisis de Riesgos'!E280='Tablas AR'!$B$5,2,IF('Análisis de Riesgos'!E280='Tablas AR'!$B$6,3,"")))</f>
        <v/>
      </c>
      <c r="G280" s="23"/>
      <c r="H280" t="str">
        <f>IF(G280='Tablas AR'!$B$10,1,IF('Análisis de Riesgos'!G280='Tablas AR'!$B$11,2,IF('Análisis de Riesgos'!G280='Tablas AR'!$B$12,3,"")))</f>
        <v/>
      </c>
      <c r="I280" t="str">
        <f t="shared" si="4"/>
        <v/>
      </c>
    </row>
    <row r="281" spans="2:9" x14ac:dyDescent="0.25">
      <c r="B281" s="24" t="str">
        <f>IFERROR(INDEX(Activos!$B$3:$C$11, MATCH(C281,Activos!$B$3:$B$11),2),"")</f>
        <v/>
      </c>
      <c r="C281" s="24"/>
      <c r="D281" s="24"/>
      <c r="E281" s="23"/>
      <c r="F281" t="str">
        <f>IF(E281='Tablas AR'!$B$4,1,IF('Análisis de Riesgos'!E281='Tablas AR'!$B$5,2,IF('Análisis de Riesgos'!E281='Tablas AR'!$B$6,3,"")))</f>
        <v/>
      </c>
      <c r="G281" s="23"/>
      <c r="H281" t="str">
        <f>IF(G281='Tablas AR'!$B$10,1,IF('Análisis de Riesgos'!G281='Tablas AR'!$B$11,2,IF('Análisis de Riesgos'!G281='Tablas AR'!$B$12,3,"")))</f>
        <v/>
      </c>
      <c r="I281" t="str">
        <f t="shared" si="4"/>
        <v/>
      </c>
    </row>
    <row r="282" spans="2:9" x14ac:dyDescent="0.25">
      <c r="B282" s="24" t="str">
        <f>IFERROR(INDEX(Activos!$B$3:$C$11, MATCH(C282,Activos!$B$3:$B$11),2),"")</f>
        <v/>
      </c>
      <c r="C282" s="24"/>
      <c r="D282" s="24"/>
      <c r="E282" s="23"/>
      <c r="F282" t="str">
        <f>IF(E282='Tablas AR'!$B$4,1,IF('Análisis de Riesgos'!E282='Tablas AR'!$B$5,2,IF('Análisis de Riesgos'!E282='Tablas AR'!$B$6,3,"")))</f>
        <v/>
      </c>
      <c r="G282" s="23"/>
      <c r="H282" t="str">
        <f>IF(G282='Tablas AR'!$B$10,1,IF('Análisis de Riesgos'!G282='Tablas AR'!$B$11,2,IF('Análisis de Riesgos'!G282='Tablas AR'!$B$12,3,"")))</f>
        <v/>
      </c>
      <c r="I282" t="str">
        <f t="shared" si="4"/>
        <v/>
      </c>
    </row>
    <row r="283" spans="2:9" x14ac:dyDescent="0.25">
      <c r="B283" s="24" t="str">
        <f>IFERROR(INDEX(Activos!$B$3:$C$11, MATCH(C283,Activos!$B$3:$B$11),2),"")</f>
        <v/>
      </c>
      <c r="C283" s="24"/>
      <c r="D283" s="24"/>
      <c r="E283" s="23"/>
      <c r="F283" t="str">
        <f>IF(E283='Tablas AR'!$B$4,1,IF('Análisis de Riesgos'!E283='Tablas AR'!$B$5,2,IF('Análisis de Riesgos'!E283='Tablas AR'!$B$6,3,"")))</f>
        <v/>
      </c>
      <c r="G283" s="23"/>
      <c r="H283" t="str">
        <f>IF(G283='Tablas AR'!$B$10,1,IF('Análisis de Riesgos'!G283='Tablas AR'!$B$11,2,IF('Análisis de Riesgos'!G283='Tablas AR'!$B$12,3,"")))</f>
        <v/>
      </c>
      <c r="I283" t="str">
        <f t="shared" si="4"/>
        <v/>
      </c>
    </row>
    <row r="284" spans="2:9" x14ac:dyDescent="0.25">
      <c r="B284" s="24" t="str">
        <f>IFERROR(INDEX(Activos!$B$3:$C$11, MATCH(C284,Activos!$B$3:$B$11),2),"")</f>
        <v/>
      </c>
      <c r="C284" s="24"/>
      <c r="D284" s="24"/>
      <c r="E284" s="23"/>
      <c r="F284" t="str">
        <f>IF(E284='Tablas AR'!$B$4,1,IF('Análisis de Riesgos'!E284='Tablas AR'!$B$5,2,IF('Análisis de Riesgos'!E284='Tablas AR'!$B$6,3,"")))</f>
        <v/>
      </c>
      <c r="G284" s="23"/>
      <c r="H284" t="str">
        <f>IF(G284='Tablas AR'!$B$10,1,IF('Análisis de Riesgos'!G284='Tablas AR'!$B$11,2,IF('Análisis de Riesgos'!G284='Tablas AR'!$B$12,3,"")))</f>
        <v/>
      </c>
      <c r="I284" t="str">
        <f t="shared" si="4"/>
        <v/>
      </c>
    </row>
    <row r="285" spans="2:9" x14ac:dyDescent="0.25">
      <c r="B285" s="24" t="str">
        <f>IFERROR(INDEX(Activos!$B$3:$C$11, MATCH(C285,Activos!$B$3:$B$11),2),"")</f>
        <v/>
      </c>
      <c r="C285" s="24"/>
      <c r="D285" s="24"/>
      <c r="E285" s="23"/>
      <c r="F285" t="str">
        <f>IF(E285='Tablas AR'!$B$4,1,IF('Análisis de Riesgos'!E285='Tablas AR'!$B$5,2,IF('Análisis de Riesgos'!E285='Tablas AR'!$B$6,3,"")))</f>
        <v/>
      </c>
      <c r="G285" s="23"/>
      <c r="H285" t="str">
        <f>IF(G285='Tablas AR'!$B$10,1,IF('Análisis de Riesgos'!G285='Tablas AR'!$B$11,2,IF('Análisis de Riesgos'!G285='Tablas AR'!$B$12,3,"")))</f>
        <v/>
      </c>
      <c r="I285" t="str">
        <f t="shared" si="4"/>
        <v/>
      </c>
    </row>
    <row r="286" spans="2:9" x14ac:dyDescent="0.25">
      <c r="B286" s="24" t="str">
        <f>IFERROR(INDEX(Activos!$B$3:$C$11, MATCH(C286,Activos!$B$3:$B$11),2),"")</f>
        <v/>
      </c>
      <c r="C286" s="24"/>
      <c r="D286" s="24"/>
      <c r="E286" s="23"/>
      <c r="F286" t="str">
        <f>IF(E286='Tablas AR'!$B$4,1,IF('Análisis de Riesgos'!E286='Tablas AR'!$B$5,2,IF('Análisis de Riesgos'!E286='Tablas AR'!$B$6,3,"")))</f>
        <v/>
      </c>
      <c r="G286" s="23"/>
      <c r="H286" t="str">
        <f>IF(G286='Tablas AR'!$B$10,1,IF('Análisis de Riesgos'!G286='Tablas AR'!$B$11,2,IF('Análisis de Riesgos'!G286='Tablas AR'!$B$12,3,"")))</f>
        <v/>
      </c>
      <c r="I286" t="str">
        <f t="shared" si="4"/>
        <v/>
      </c>
    </row>
    <row r="287" spans="2:9" x14ac:dyDescent="0.25">
      <c r="B287" s="24" t="str">
        <f>IFERROR(INDEX(Activos!$B$3:$C$11, MATCH(C287,Activos!$B$3:$B$11),2),"")</f>
        <v/>
      </c>
      <c r="C287" s="24"/>
      <c r="D287" s="24"/>
      <c r="E287" s="23"/>
      <c r="F287" t="str">
        <f>IF(E287='Tablas AR'!$B$4,1,IF('Análisis de Riesgos'!E287='Tablas AR'!$B$5,2,IF('Análisis de Riesgos'!E287='Tablas AR'!$B$6,3,"")))</f>
        <v/>
      </c>
      <c r="G287" s="23"/>
      <c r="H287" t="str">
        <f>IF(G287='Tablas AR'!$B$10,1,IF('Análisis de Riesgos'!G287='Tablas AR'!$B$11,2,IF('Análisis de Riesgos'!G287='Tablas AR'!$B$12,3,"")))</f>
        <v/>
      </c>
      <c r="I287" t="str">
        <f t="shared" si="4"/>
        <v/>
      </c>
    </row>
    <row r="288" spans="2:9" x14ac:dyDescent="0.25">
      <c r="B288" s="24" t="str">
        <f>IFERROR(INDEX(Activos!$B$3:$C$11, MATCH(C288,Activos!$B$3:$B$11),2),"")</f>
        <v/>
      </c>
      <c r="C288" s="24"/>
      <c r="D288" s="24"/>
      <c r="E288" s="23"/>
      <c r="F288" t="str">
        <f>IF(E288='Tablas AR'!$B$4,1,IF('Análisis de Riesgos'!E288='Tablas AR'!$B$5,2,IF('Análisis de Riesgos'!E288='Tablas AR'!$B$6,3,"")))</f>
        <v/>
      </c>
      <c r="G288" s="23"/>
      <c r="H288" t="str">
        <f>IF(G288='Tablas AR'!$B$10,1,IF('Análisis de Riesgos'!G288='Tablas AR'!$B$11,2,IF('Análisis de Riesgos'!G288='Tablas AR'!$B$12,3,"")))</f>
        <v/>
      </c>
      <c r="I288" t="str">
        <f t="shared" si="4"/>
        <v/>
      </c>
    </row>
    <row r="289" spans="2:9" x14ac:dyDescent="0.25">
      <c r="B289" s="24" t="str">
        <f>IFERROR(INDEX(Activos!$B$3:$C$11, MATCH(C289,Activos!$B$3:$B$11),2),"")</f>
        <v/>
      </c>
      <c r="C289" s="24"/>
      <c r="D289" s="24"/>
      <c r="E289" s="23"/>
      <c r="F289" t="str">
        <f>IF(E289='Tablas AR'!$B$4,1,IF('Análisis de Riesgos'!E289='Tablas AR'!$B$5,2,IF('Análisis de Riesgos'!E289='Tablas AR'!$B$6,3,"")))</f>
        <v/>
      </c>
      <c r="G289" s="23"/>
      <c r="H289" t="str">
        <f>IF(G289='Tablas AR'!$B$10,1,IF('Análisis de Riesgos'!G289='Tablas AR'!$B$11,2,IF('Análisis de Riesgos'!G289='Tablas AR'!$B$12,3,"")))</f>
        <v/>
      </c>
      <c r="I289" t="str">
        <f t="shared" si="4"/>
        <v/>
      </c>
    </row>
    <row r="290" spans="2:9" x14ac:dyDescent="0.25">
      <c r="B290" s="24" t="str">
        <f>IFERROR(INDEX(Activos!$B$3:$C$11, MATCH(C290,Activos!$B$3:$B$11),2),"")</f>
        <v/>
      </c>
      <c r="C290" s="24"/>
      <c r="D290" s="24"/>
      <c r="E290" s="23"/>
      <c r="F290" t="str">
        <f>IF(E290='Tablas AR'!$B$4,1,IF('Análisis de Riesgos'!E290='Tablas AR'!$B$5,2,IF('Análisis de Riesgos'!E290='Tablas AR'!$B$6,3,"")))</f>
        <v/>
      </c>
      <c r="G290" s="23"/>
      <c r="H290" t="str">
        <f>IF(G290='Tablas AR'!$B$10,1,IF('Análisis de Riesgos'!G290='Tablas AR'!$B$11,2,IF('Análisis de Riesgos'!G290='Tablas AR'!$B$12,3,"")))</f>
        <v/>
      </c>
      <c r="I290" t="str">
        <f t="shared" si="4"/>
        <v/>
      </c>
    </row>
    <row r="291" spans="2:9" x14ac:dyDescent="0.25">
      <c r="B291" s="24" t="str">
        <f>IFERROR(INDEX(Activos!$B$3:$C$11, MATCH(C291,Activos!$B$3:$B$11),2),"")</f>
        <v/>
      </c>
      <c r="C291" s="24"/>
      <c r="D291" s="24"/>
      <c r="E291" s="23"/>
      <c r="F291" t="str">
        <f>IF(E291='Tablas AR'!$B$4,1,IF('Análisis de Riesgos'!E291='Tablas AR'!$B$5,2,IF('Análisis de Riesgos'!E291='Tablas AR'!$B$6,3,"")))</f>
        <v/>
      </c>
      <c r="G291" s="23"/>
      <c r="H291" t="str">
        <f>IF(G291='Tablas AR'!$B$10,1,IF('Análisis de Riesgos'!G291='Tablas AR'!$B$11,2,IF('Análisis de Riesgos'!G291='Tablas AR'!$B$12,3,"")))</f>
        <v/>
      </c>
      <c r="I291" t="str">
        <f t="shared" si="4"/>
        <v/>
      </c>
    </row>
    <row r="292" spans="2:9" x14ac:dyDescent="0.25">
      <c r="B292" s="24" t="str">
        <f>IFERROR(INDEX(Activos!$B$3:$C$11, MATCH(C292,Activos!$B$3:$B$11),2),"")</f>
        <v/>
      </c>
      <c r="C292" s="24"/>
      <c r="D292" s="24"/>
      <c r="E292" s="23"/>
      <c r="F292" t="str">
        <f>IF(E292='Tablas AR'!$B$4,1,IF('Análisis de Riesgos'!E292='Tablas AR'!$B$5,2,IF('Análisis de Riesgos'!E292='Tablas AR'!$B$6,3,"")))</f>
        <v/>
      </c>
      <c r="G292" s="23"/>
      <c r="H292" t="str">
        <f>IF(G292='Tablas AR'!$B$10,1,IF('Análisis de Riesgos'!G292='Tablas AR'!$B$11,2,IF('Análisis de Riesgos'!G292='Tablas AR'!$B$12,3,"")))</f>
        <v/>
      </c>
      <c r="I292" t="str">
        <f t="shared" si="4"/>
        <v/>
      </c>
    </row>
    <row r="293" spans="2:9" x14ac:dyDescent="0.25">
      <c r="B293" s="24" t="str">
        <f>IFERROR(INDEX(Activos!$B$3:$C$11, MATCH(C293,Activos!$B$3:$B$11),2),"")</f>
        <v/>
      </c>
      <c r="C293" s="24"/>
      <c r="D293" s="24"/>
      <c r="E293" s="23"/>
      <c r="F293" t="str">
        <f>IF(E293='Tablas AR'!$B$4,1,IF('Análisis de Riesgos'!E293='Tablas AR'!$B$5,2,IF('Análisis de Riesgos'!E293='Tablas AR'!$B$6,3,"")))</f>
        <v/>
      </c>
      <c r="G293" s="23"/>
      <c r="H293" t="str">
        <f>IF(G293='Tablas AR'!$B$10,1,IF('Análisis de Riesgos'!G293='Tablas AR'!$B$11,2,IF('Análisis de Riesgos'!G293='Tablas AR'!$B$12,3,"")))</f>
        <v/>
      </c>
      <c r="I293" t="str">
        <f t="shared" si="4"/>
        <v/>
      </c>
    </row>
    <row r="294" spans="2:9" x14ac:dyDescent="0.25">
      <c r="B294" s="24" t="str">
        <f>IFERROR(INDEX(Activos!$B$3:$C$11, MATCH(C294,Activos!$B$3:$B$11),2),"")</f>
        <v/>
      </c>
      <c r="C294" s="24"/>
      <c r="D294" s="24"/>
      <c r="E294" s="23"/>
      <c r="F294" t="str">
        <f>IF(E294='Tablas AR'!$B$4,1,IF('Análisis de Riesgos'!E294='Tablas AR'!$B$5,2,IF('Análisis de Riesgos'!E294='Tablas AR'!$B$6,3,"")))</f>
        <v/>
      </c>
      <c r="G294" s="23"/>
      <c r="H294" t="str">
        <f>IF(G294='Tablas AR'!$B$10,1,IF('Análisis de Riesgos'!G294='Tablas AR'!$B$11,2,IF('Análisis de Riesgos'!G294='Tablas AR'!$B$12,3,"")))</f>
        <v/>
      </c>
      <c r="I294" t="str">
        <f t="shared" si="4"/>
        <v/>
      </c>
    </row>
    <row r="295" spans="2:9" x14ac:dyDescent="0.25">
      <c r="B295" s="24" t="str">
        <f>IFERROR(INDEX(Activos!$B$3:$C$11, MATCH(C295,Activos!$B$3:$B$11),2),"")</f>
        <v/>
      </c>
      <c r="C295" s="24"/>
      <c r="D295" s="24"/>
      <c r="E295" s="23"/>
      <c r="F295" t="str">
        <f>IF(E295='Tablas AR'!$B$4,1,IF('Análisis de Riesgos'!E295='Tablas AR'!$B$5,2,IF('Análisis de Riesgos'!E295='Tablas AR'!$B$6,3,"")))</f>
        <v/>
      </c>
      <c r="G295" s="23"/>
      <c r="H295" t="str">
        <f>IF(G295='Tablas AR'!$B$10,1,IF('Análisis de Riesgos'!G295='Tablas AR'!$B$11,2,IF('Análisis de Riesgos'!G295='Tablas AR'!$B$12,3,"")))</f>
        <v/>
      </c>
      <c r="I295" t="str">
        <f t="shared" si="4"/>
        <v/>
      </c>
    </row>
    <row r="296" spans="2:9" x14ac:dyDescent="0.25">
      <c r="B296" s="24" t="str">
        <f>IFERROR(INDEX(Activos!$B$3:$C$11, MATCH(C296,Activos!$B$3:$B$11),2),"")</f>
        <v/>
      </c>
      <c r="C296" s="24"/>
      <c r="D296" s="24"/>
      <c r="E296" s="23"/>
      <c r="F296" t="str">
        <f>IF(E296='Tablas AR'!$B$4,1,IF('Análisis de Riesgos'!E296='Tablas AR'!$B$5,2,IF('Análisis de Riesgos'!E296='Tablas AR'!$B$6,3,"")))</f>
        <v/>
      </c>
      <c r="G296" s="23"/>
      <c r="H296" t="str">
        <f>IF(G296='Tablas AR'!$B$10,1,IF('Análisis de Riesgos'!G296='Tablas AR'!$B$11,2,IF('Análisis de Riesgos'!G296='Tablas AR'!$B$12,3,"")))</f>
        <v/>
      </c>
      <c r="I296" t="str">
        <f t="shared" si="4"/>
        <v/>
      </c>
    </row>
    <row r="297" spans="2:9" x14ac:dyDescent="0.25">
      <c r="B297" s="24" t="str">
        <f>IFERROR(INDEX(Activos!$B$3:$C$11, MATCH(C297,Activos!$B$3:$B$11),2),"")</f>
        <v/>
      </c>
      <c r="C297" s="24"/>
      <c r="D297" s="24"/>
      <c r="E297" s="23"/>
      <c r="F297" t="str">
        <f>IF(E297='Tablas AR'!$B$4,1,IF('Análisis de Riesgos'!E297='Tablas AR'!$B$5,2,IF('Análisis de Riesgos'!E297='Tablas AR'!$B$6,3,"")))</f>
        <v/>
      </c>
      <c r="G297" s="23"/>
      <c r="H297" t="str">
        <f>IF(G297='Tablas AR'!$B$10,1,IF('Análisis de Riesgos'!G297='Tablas AR'!$B$11,2,IF('Análisis de Riesgos'!G297='Tablas AR'!$B$12,3,"")))</f>
        <v/>
      </c>
      <c r="I297" t="str">
        <f t="shared" si="4"/>
        <v/>
      </c>
    </row>
    <row r="298" spans="2:9" x14ac:dyDescent="0.25">
      <c r="B298" s="24" t="str">
        <f>IFERROR(INDEX(Activos!$B$3:$C$11, MATCH(C298,Activos!$B$3:$B$11),2),"")</f>
        <v/>
      </c>
      <c r="C298" s="24"/>
      <c r="D298" s="24"/>
      <c r="E298" s="23"/>
      <c r="F298" t="str">
        <f>IF(E298='Tablas AR'!$B$4,1,IF('Análisis de Riesgos'!E298='Tablas AR'!$B$5,2,IF('Análisis de Riesgos'!E298='Tablas AR'!$B$6,3,"")))</f>
        <v/>
      </c>
      <c r="G298" s="23"/>
      <c r="H298" t="str">
        <f>IF(G298='Tablas AR'!$B$10,1,IF('Análisis de Riesgos'!G298='Tablas AR'!$B$11,2,IF('Análisis de Riesgos'!G298='Tablas AR'!$B$12,3,"")))</f>
        <v/>
      </c>
      <c r="I298" t="str">
        <f t="shared" si="4"/>
        <v/>
      </c>
    </row>
    <row r="299" spans="2:9" x14ac:dyDescent="0.25">
      <c r="B299" s="24" t="str">
        <f>IFERROR(INDEX(Activos!$B$3:$C$11, MATCH(C299,Activos!$B$3:$B$11),2),"")</f>
        <v/>
      </c>
      <c r="C299" s="24"/>
      <c r="D299" s="24"/>
      <c r="E299" s="23"/>
      <c r="F299" t="str">
        <f>IF(E299='Tablas AR'!$B$4,1,IF('Análisis de Riesgos'!E299='Tablas AR'!$B$5,2,IF('Análisis de Riesgos'!E299='Tablas AR'!$B$6,3,"")))</f>
        <v/>
      </c>
      <c r="G299" s="23"/>
      <c r="H299" t="str">
        <f>IF(G299='Tablas AR'!$B$10,1,IF('Análisis de Riesgos'!G299='Tablas AR'!$B$11,2,IF('Análisis de Riesgos'!G299='Tablas AR'!$B$12,3,"")))</f>
        <v/>
      </c>
      <c r="I299" t="str">
        <f t="shared" si="4"/>
        <v/>
      </c>
    </row>
    <row r="300" spans="2:9" x14ac:dyDescent="0.25">
      <c r="B300" s="24" t="str">
        <f>IFERROR(INDEX(Activos!$B$3:$C$11, MATCH(C300,Activos!$B$3:$B$11),2),"")</f>
        <v/>
      </c>
      <c r="C300" s="24"/>
      <c r="D300" s="24"/>
      <c r="E300" s="23"/>
      <c r="F300" t="str">
        <f>IF(E300='Tablas AR'!$B$4,1,IF('Análisis de Riesgos'!E300='Tablas AR'!$B$5,2,IF('Análisis de Riesgos'!E300='Tablas AR'!$B$6,3,"")))</f>
        <v/>
      </c>
      <c r="G300" s="23"/>
      <c r="H300" t="str">
        <f>IF(G300='Tablas AR'!$B$10,1,IF('Análisis de Riesgos'!G300='Tablas AR'!$B$11,2,IF('Análisis de Riesgos'!G300='Tablas AR'!$B$12,3,"")))</f>
        <v/>
      </c>
      <c r="I300" t="str">
        <f t="shared" si="4"/>
        <v/>
      </c>
    </row>
    <row r="301" spans="2:9" x14ac:dyDescent="0.25">
      <c r="B301" s="24" t="str">
        <f>IFERROR(INDEX(Activos!$B$3:$C$11, MATCH(C301,Activos!$B$3:$B$11),2),"")</f>
        <v/>
      </c>
      <c r="C301" s="24"/>
      <c r="D301" s="24"/>
      <c r="E301" s="23"/>
      <c r="F301" t="str">
        <f>IF(E301='Tablas AR'!$B$4,1,IF('Análisis de Riesgos'!E301='Tablas AR'!$B$5,2,IF('Análisis de Riesgos'!E301='Tablas AR'!$B$6,3,"")))</f>
        <v/>
      </c>
      <c r="G301" s="23"/>
      <c r="H301" t="str">
        <f>IF(G301='Tablas AR'!$B$10,1,IF('Análisis de Riesgos'!G301='Tablas AR'!$B$11,2,IF('Análisis de Riesgos'!G301='Tablas AR'!$B$12,3,"")))</f>
        <v/>
      </c>
      <c r="I301" t="str">
        <f t="shared" si="4"/>
        <v/>
      </c>
    </row>
    <row r="302" spans="2:9" x14ac:dyDescent="0.25">
      <c r="B302" s="24" t="str">
        <f>IFERROR(INDEX(Activos!$B$3:$C$11, MATCH(C302,Activos!$B$3:$B$11),2),"")</f>
        <v/>
      </c>
      <c r="C302" s="24"/>
      <c r="D302" s="24"/>
      <c r="E302" s="23"/>
      <c r="F302" t="str">
        <f>IF(E302='Tablas AR'!$B$4,1,IF('Análisis de Riesgos'!E302='Tablas AR'!$B$5,2,IF('Análisis de Riesgos'!E302='Tablas AR'!$B$6,3,"")))</f>
        <v/>
      </c>
      <c r="G302" s="23"/>
      <c r="H302" t="str">
        <f>IF(G302='Tablas AR'!$B$10,1,IF('Análisis de Riesgos'!G302='Tablas AR'!$B$11,2,IF('Análisis de Riesgos'!G302='Tablas AR'!$B$12,3,"")))</f>
        <v/>
      </c>
      <c r="I302" t="str">
        <f t="shared" si="4"/>
        <v/>
      </c>
    </row>
    <row r="303" spans="2:9" x14ac:dyDescent="0.25">
      <c r="B303" s="24" t="str">
        <f>IFERROR(INDEX(Activos!$B$3:$C$11, MATCH(C303,Activos!$B$3:$B$11),2),"")</f>
        <v/>
      </c>
      <c r="C303" s="24"/>
      <c r="D303" s="24"/>
      <c r="E303" s="23"/>
      <c r="F303" t="str">
        <f>IF(E303='Tablas AR'!$B$4,1,IF('Análisis de Riesgos'!E303='Tablas AR'!$B$5,2,IF('Análisis de Riesgos'!E303='Tablas AR'!$B$6,3,"")))</f>
        <v/>
      </c>
      <c r="G303" s="23"/>
      <c r="H303" t="str">
        <f>IF(G303='Tablas AR'!$B$10,1,IF('Análisis de Riesgos'!G303='Tablas AR'!$B$11,2,IF('Análisis de Riesgos'!G303='Tablas AR'!$B$12,3,"")))</f>
        <v/>
      </c>
      <c r="I303" t="str">
        <f t="shared" si="4"/>
        <v/>
      </c>
    </row>
    <row r="304" spans="2:9" x14ac:dyDescent="0.25">
      <c r="B304" s="24" t="str">
        <f>IFERROR(INDEX(Activos!$B$3:$C$11, MATCH(C304,Activos!$B$3:$B$11),2),"")</f>
        <v/>
      </c>
      <c r="C304" s="24"/>
      <c r="D304" s="24"/>
      <c r="E304" s="23"/>
      <c r="F304" t="str">
        <f>IF(E304='Tablas AR'!$B$4,1,IF('Análisis de Riesgos'!E304='Tablas AR'!$B$5,2,IF('Análisis de Riesgos'!E304='Tablas AR'!$B$6,3,"")))</f>
        <v/>
      </c>
      <c r="G304" s="23"/>
      <c r="H304" t="str">
        <f>IF(G304='Tablas AR'!$B$10,1,IF('Análisis de Riesgos'!G304='Tablas AR'!$B$11,2,IF('Análisis de Riesgos'!G304='Tablas AR'!$B$12,3,"")))</f>
        <v/>
      </c>
      <c r="I304" t="str">
        <f t="shared" si="4"/>
        <v/>
      </c>
    </row>
    <row r="305" spans="2:9" x14ac:dyDescent="0.25">
      <c r="B305" s="24" t="str">
        <f>IFERROR(INDEX(Activos!$B$3:$C$11, MATCH(C305,Activos!$B$3:$B$11),2),"")</f>
        <v/>
      </c>
      <c r="C305" s="24"/>
      <c r="D305" s="24"/>
      <c r="E305" s="23"/>
      <c r="F305" t="str">
        <f>IF(E305='Tablas AR'!$B$4,1,IF('Análisis de Riesgos'!E305='Tablas AR'!$B$5,2,IF('Análisis de Riesgos'!E305='Tablas AR'!$B$6,3,"")))</f>
        <v/>
      </c>
      <c r="G305" s="23"/>
      <c r="H305" t="str">
        <f>IF(G305='Tablas AR'!$B$10,1,IF('Análisis de Riesgos'!G305='Tablas AR'!$B$11,2,IF('Análisis de Riesgos'!G305='Tablas AR'!$B$12,3,"")))</f>
        <v/>
      </c>
      <c r="I305" t="str">
        <f t="shared" si="4"/>
        <v/>
      </c>
    </row>
    <row r="306" spans="2:9" x14ac:dyDescent="0.25">
      <c r="B306" s="24" t="str">
        <f>IFERROR(INDEX(Activos!$B$3:$C$11, MATCH(C306,Activos!$B$3:$B$11),2),"")</f>
        <v/>
      </c>
      <c r="C306" s="24"/>
      <c r="D306" s="24"/>
      <c r="E306" s="23"/>
      <c r="F306" t="str">
        <f>IF(E306='Tablas AR'!$B$4,1,IF('Análisis de Riesgos'!E306='Tablas AR'!$B$5,2,IF('Análisis de Riesgos'!E306='Tablas AR'!$B$6,3,"")))</f>
        <v/>
      </c>
      <c r="G306" s="23"/>
      <c r="H306" t="str">
        <f>IF(G306='Tablas AR'!$B$10,1,IF('Análisis de Riesgos'!G306='Tablas AR'!$B$11,2,IF('Análisis de Riesgos'!G306='Tablas AR'!$B$12,3,"")))</f>
        <v/>
      </c>
      <c r="I306" t="str">
        <f t="shared" si="4"/>
        <v/>
      </c>
    </row>
    <row r="307" spans="2:9" x14ac:dyDescent="0.25">
      <c r="B307" s="24" t="str">
        <f>IFERROR(INDEX(Activos!$B$3:$C$11, MATCH(C307,Activos!$B$3:$B$11),2),"")</f>
        <v/>
      </c>
      <c r="C307" s="24"/>
      <c r="D307" s="24"/>
      <c r="E307" s="23"/>
      <c r="F307" t="str">
        <f>IF(E307='Tablas AR'!$B$4,1,IF('Análisis de Riesgos'!E307='Tablas AR'!$B$5,2,IF('Análisis de Riesgos'!E307='Tablas AR'!$B$6,3,"")))</f>
        <v/>
      </c>
      <c r="G307" s="23"/>
      <c r="H307" t="str">
        <f>IF(G307='Tablas AR'!$B$10,1,IF('Análisis de Riesgos'!G307='Tablas AR'!$B$11,2,IF('Análisis de Riesgos'!G307='Tablas AR'!$B$12,3,"")))</f>
        <v/>
      </c>
      <c r="I307" t="str">
        <f t="shared" si="4"/>
        <v/>
      </c>
    </row>
    <row r="308" spans="2:9" x14ac:dyDescent="0.25">
      <c r="B308" s="24" t="str">
        <f>IFERROR(INDEX(Activos!$B$3:$C$11, MATCH(C308,Activos!$B$3:$B$11),2),"")</f>
        <v/>
      </c>
      <c r="C308" s="24"/>
      <c r="D308" s="24"/>
      <c r="E308" s="23"/>
      <c r="F308" t="str">
        <f>IF(E308='Tablas AR'!$B$4,1,IF('Análisis de Riesgos'!E308='Tablas AR'!$B$5,2,IF('Análisis de Riesgos'!E308='Tablas AR'!$B$6,3,"")))</f>
        <v/>
      </c>
      <c r="G308" s="23"/>
      <c r="H308" t="str">
        <f>IF(G308='Tablas AR'!$B$10,1,IF('Análisis de Riesgos'!G308='Tablas AR'!$B$11,2,IF('Análisis de Riesgos'!G308='Tablas AR'!$B$12,3,"")))</f>
        <v/>
      </c>
      <c r="I308" t="str">
        <f t="shared" si="4"/>
        <v/>
      </c>
    </row>
    <row r="309" spans="2:9" x14ac:dyDescent="0.25">
      <c r="B309" s="24" t="str">
        <f>IFERROR(INDEX(Activos!$B$3:$C$11, MATCH(C309,Activos!$B$3:$B$11),2),"")</f>
        <v/>
      </c>
      <c r="C309" s="24"/>
      <c r="D309" s="24"/>
      <c r="E309" s="23"/>
      <c r="F309" t="str">
        <f>IF(E309='Tablas AR'!$B$4,1,IF('Análisis de Riesgos'!E309='Tablas AR'!$B$5,2,IF('Análisis de Riesgos'!E309='Tablas AR'!$B$6,3,"")))</f>
        <v/>
      </c>
      <c r="G309" s="23"/>
      <c r="H309" t="str">
        <f>IF(G309='Tablas AR'!$B$10,1,IF('Análisis de Riesgos'!G309='Tablas AR'!$B$11,2,IF('Análisis de Riesgos'!G309='Tablas AR'!$B$12,3,"")))</f>
        <v/>
      </c>
      <c r="I309" t="str">
        <f t="shared" si="4"/>
        <v/>
      </c>
    </row>
    <row r="310" spans="2:9" x14ac:dyDescent="0.25">
      <c r="B310" s="24" t="str">
        <f>IFERROR(INDEX(Activos!$B$3:$C$11, MATCH(C310,Activos!$B$3:$B$11),2),"")</f>
        <v/>
      </c>
      <c r="C310" s="24"/>
      <c r="D310" s="24"/>
      <c r="E310" s="23"/>
      <c r="F310" t="str">
        <f>IF(E310='Tablas AR'!$B$4,1,IF('Análisis de Riesgos'!E310='Tablas AR'!$B$5,2,IF('Análisis de Riesgos'!E310='Tablas AR'!$B$6,3,"")))</f>
        <v/>
      </c>
      <c r="G310" s="23"/>
      <c r="H310" t="str">
        <f>IF(G310='Tablas AR'!$B$10,1,IF('Análisis de Riesgos'!G310='Tablas AR'!$B$11,2,IF('Análisis de Riesgos'!G310='Tablas AR'!$B$12,3,"")))</f>
        <v/>
      </c>
      <c r="I310" t="str">
        <f t="shared" si="4"/>
        <v/>
      </c>
    </row>
    <row r="311" spans="2:9" x14ac:dyDescent="0.25">
      <c r="B311" s="24" t="str">
        <f>IFERROR(INDEX(Activos!$B$3:$C$11, MATCH(C311,Activos!$B$3:$B$11),2),"")</f>
        <v/>
      </c>
      <c r="C311" s="24"/>
      <c r="D311" s="24"/>
      <c r="E311" s="23"/>
      <c r="F311" t="str">
        <f>IF(E311='Tablas AR'!$B$4,1,IF('Análisis de Riesgos'!E311='Tablas AR'!$B$5,2,IF('Análisis de Riesgos'!E311='Tablas AR'!$B$6,3,"")))</f>
        <v/>
      </c>
      <c r="G311" s="23"/>
      <c r="H311" t="str">
        <f>IF(G311='Tablas AR'!$B$10,1,IF('Análisis de Riesgos'!G311='Tablas AR'!$B$11,2,IF('Análisis de Riesgos'!G311='Tablas AR'!$B$12,3,"")))</f>
        <v/>
      </c>
      <c r="I311" t="str">
        <f t="shared" si="4"/>
        <v/>
      </c>
    </row>
    <row r="312" spans="2:9" x14ac:dyDescent="0.25">
      <c r="B312" s="24" t="str">
        <f>IFERROR(INDEX(Activos!$B$3:$C$11, MATCH(C312,Activos!$B$3:$B$11),2),"")</f>
        <v/>
      </c>
      <c r="C312" s="24"/>
      <c r="D312" s="24"/>
      <c r="E312" s="23"/>
      <c r="F312" t="str">
        <f>IF(E312='Tablas AR'!$B$4,1,IF('Análisis de Riesgos'!E312='Tablas AR'!$B$5,2,IF('Análisis de Riesgos'!E312='Tablas AR'!$B$6,3,"")))</f>
        <v/>
      </c>
      <c r="G312" s="23"/>
      <c r="H312" t="str">
        <f>IF(G312='Tablas AR'!$B$10,1,IF('Análisis de Riesgos'!G312='Tablas AR'!$B$11,2,IF('Análisis de Riesgos'!G312='Tablas AR'!$B$12,3,"")))</f>
        <v/>
      </c>
      <c r="I312" t="str">
        <f t="shared" si="4"/>
        <v/>
      </c>
    </row>
    <row r="313" spans="2:9" x14ac:dyDescent="0.25">
      <c r="B313" s="24" t="str">
        <f>IFERROR(INDEX(Activos!$B$3:$C$11, MATCH(C313,Activos!$B$3:$B$11),2),"")</f>
        <v/>
      </c>
      <c r="C313" s="24"/>
      <c r="D313" s="24"/>
      <c r="E313" s="23"/>
      <c r="F313" t="str">
        <f>IF(E313='Tablas AR'!$B$4,1,IF('Análisis de Riesgos'!E313='Tablas AR'!$B$5,2,IF('Análisis de Riesgos'!E313='Tablas AR'!$B$6,3,"")))</f>
        <v/>
      </c>
      <c r="G313" s="23"/>
      <c r="H313" t="str">
        <f>IF(G313='Tablas AR'!$B$10,1,IF('Análisis de Riesgos'!G313='Tablas AR'!$B$11,2,IF('Análisis de Riesgos'!G313='Tablas AR'!$B$12,3,"")))</f>
        <v/>
      </c>
      <c r="I313" t="str">
        <f t="shared" si="4"/>
        <v/>
      </c>
    </row>
    <row r="314" spans="2:9" x14ac:dyDescent="0.25">
      <c r="B314" s="24" t="str">
        <f>IFERROR(INDEX(Activos!$B$3:$C$11, MATCH(C314,Activos!$B$3:$B$11),2),"")</f>
        <v/>
      </c>
      <c r="C314" s="24"/>
      <c r="D314" s="24"/>
      <c r="E314" s="23"/>
      <c r="F314" t="str">
        <f>IF(E314='Tablas AR'!$B$4,1,IF('Análisis de Riesgos'!E314='Tablas AR'!$B$5,2,IF('Análisis de Riesgos'!E314='Tablas AR'!$B$6,3,"")))</f>
        <v/>
      </c>
      <c r="G314" s="23"/>
      <c r="H314" t="str">
        <f>IF(G314='Tablas AR'!$B$10,1,IF('Análisis de Riesgos'!G314='Tablas AR'!$B$11,2,IF('Análisis de Riesgos'!G314='Tablas AR'!$B$12,3,"")))</f>
        <v/>
      </c>
      <c r="I314" t="str">
        <f t="shared" si="4"/>
        <v/>
      </c>
    </row>
    <row r="315" spans="2:9" x14ac:dyDescent="0.25">
      <c r="B315" s="24" t="str">
        <f>IFERROR(INDEX(Activos!$B$3:$C$11, MATCH(C315,Activos!$B$3:$B$11),2),"")</f>
        <v/>
      </c>
      <c r="C315" s="24"/>
      <c r="D315" s="24"/>
      <c r="E315" s="23"/>
      <c r="F315" t="str">
        <f>IF(E315='Tablas AR'!$B$4,1,IF('Análisis de Riesgos'!E315='Tablas AR'!$B$5,2,IF('Análisis de Riesgos'!E315='Tablas AR'!$B$6,3,"")))</f>
        <v/>
      </c>
      <c r="G315" s="23"/>
      <c r="H315" t="str">
        <f>IF(G315='Tablas AR'!$B$10,1,IF('Análisis de Riesgos'!G315='Tablas AR'!$B$11,2,IF('Análisis de Riesgos'!G315='Tablas AR'!$B$12,3,"")))</f>
        <v/>
      </c>
      <c r="I315" t="str">
        <f t="shared" si="4"/>
        <v/>
      </c>
    </row>
    <row r="316" spans="2:9" x14ac:dyDescent="0.25">
      <c r="B316" s="24" t="str">
        <f>IFERROR(INDEX(Activos!$B$3:$C$11, MATCH(C316,Activos!$B$3:$B$11),2),"")</f>
        <v/>
      </c>
      <c r="C316" s="24"/>
      <c r="D316" s="24"/>
      <c r="E316" s="23"/>
      <c r="F316" t="str">
        <f>IF(E316='Tablas AR'!$B$4,1,IF('Análisis de Riesgos'!E316='Tablas AR'!$B$5,2,IF('Análisis de Riesgos'!E316='Tablas AR'!$B$6,3,"")))</f>
        <v/>
      </c>
      <c r="G316" s="23"/>
      <c r="H316" t="str">
        <f>IF(G316='Tablas AR'!$B$10,1,IF('Análisis de Riesgos'!G316='Tablas AR'!$B$11,2,IF('Análisis de Riesgos'!G316='Tablas AR'!$B$12,3,"")))</f>
        <v/>
      </c>
      <c r="I316" t="str">
        <f t="shared" si="4"/>
        <v/>
      </c>
    </row>
    <row r="317" spans="2:9" x14ac:dyDescent="0.25">
      <c r="B317" s="24" t="str">
        <f>IFERROR(INDEX(Activos!$B$3:$C$11, MATCH(C317,Activos!$B$3:$B$11),2),"")</f>
        <v/>
      </c>
      <c r="C317" s="24"/>
      <c r="D317" s="24"/>
      <c r="E317" s="23"/>
      <c r="F317" t="str">
        <f>IF(E317='Tablas AR'!$B$4,1,IF('Análisis de Riesgos'!E317='Tablas AR'!$B$5,2,IF('Análisis de Riesgos'!E317='Tablas AR'!$B$6,3,"")))</f>
        <v/>
      </c>
      <c r="G317" s="23"/>
      <c r="H317" t="str">
        <f>IF(G317='Tablas AR'!$B$10,1,IF('Análisis de Riesgos'!G317='Tablas AR'!$B$11,2,IF('Análisis de Riesgos'!G317='Tablas AR'!$B$12,3,"")))</f>
        <v/>
      </c>
      <c r="I317" t="str">
        <f t="shared" si="4"/>
        <v/>
      </c>
    </row>
    <row r="318" spans="2:9" x14ac:dyDescent="0.25">
      <c r="B318" s="24" t="str">
        <f>IFERROR(INDEX(Activos!$B$3:$C$11, MATCH(C318,Activos!$B$3:$B$11),2),"")</f>
        <v/>
      </c>
      <c r="C318" s="24"/>
      <c r="D318" s="24"/>
      <c r="E318" s="23"/>
      <c r="F318" t="str">
        <f>IF(E318='Tablas AR'!$B$4,1,IF('Análisis de Riesgos'!E318='Tablas AR'!$B$5,2,IF('Análisis de Riesgos'!E318='Tablas AR'!$B$6,3,"")))</f>
        <v/>
      </c>
      <c r="G318" s="23"/>
      <c r="H318" t="str">
        <f>IF(G318='Tablas AR'!$B$10,1,IF('Análisis de Riesgos'!G318='Tablas AR'!$B$11,2,IF('Análisis de Riesgos'!G318='Tablas AR'!$B$12,3,"")))</f>
        <v/>
      </c>
      <c r="I318" t="str">
        <f t="shared" si="4"/>
        <v/>
      </c>
    </row>
    <row r="319" spans="2:9" x14ac:dyDescent="0.25">
      <c r="B319" s="24" t="str">
        <f>IFERROR(INDEX(Activos!$B$3:$C$11, MATCH(C319,Activos!$B$3:$B$11),2),"")</f>
        <v/>
      </c>
      <c r="C319" s="24"/>
      <c r="D319" s="24"/>
      <c r="E319" s="23"/>
      <c r="F319" t="str">
        <f>IF(E319='Tablas AR'!$B$4,1,IF('Análisis de Riesgos'!E319='Tablas AR'!$B$5,2,IF('Análisis de Riesgos'!E319='Tablas AR'!$B$6,3,"")))</f>
        <v/>
      </c>
      <c r="G319" s="23"/>
      <c r="H319" t="str">
        <f>IF(G319='Tablas AR'!$B$10,1,IF('Análisis de Riesgos'!G319='Tablas AR'!$B$11,2,IF('Análisis de Riesgos'!G319='Tablas AR'!$B$12,3,"")))</f>
        <v/>
      </c>
      <c r="I319" t="str">
        <f t="shared" si="4"/>
        <v/>
      </c>
    </row>
    <row r="320" spans="2:9" x14ac:dyDescent="0.25">
      <c r="B320" s="24" t="str">
        <f>IFERROR(INDEX(Activos!$B$3:$C$11, MATCH(C320,Activos!$B$3:$B$11),2),"")</f>
        <v/>
      </c>
      <c r="C320" s="24"/>
      <c r="D320" s="24"/>
      <c r="E320" s="23"/>
      <c r="F320" t="str">
        <f>IF(E320='Tablas AR'!$B$4,1,IF('Análisis de Riesgos'!E320='Tablas AR'!$B$5,2,IF('Análisis de Riesgos'!E320='Tablas AR'!$B$6,3,"")))</f>
        <v/>
      </c>
      <c r="G320" s="23"/>
      <c r="H320" t="str">
        <f>IF(G320='Tablas AR'!$B$10,1,IF('Análisis de Riesgos'!G320='Tablas AR'!$B$11,2,IF('Análisis de Riesgos'!G320='Tablas AR'!$B$12,3,"")))</f>
        <v/>
      </c>
      <c r="I320" t="str">
        <f t="shared" si="4"/>
        <v/>
      </c>
    </row>
    <row r="321" spans="2:9" x14ac:dyDescent="0.25">
      <c r="B321" s="24" t="str">
        <f>IFERROR(INDEX(Activos!$B$3:$C$11, MATCH(C321,Activos!$B$3:$B$11),2),"")</f>
        <v/>
      </c>
      <c r="C321" s="24"/>
      <c r="D321" s="24"/>
      <c r="E321" s="23"/>
      <c r="F321" t="str">
        <f>IF(E321='Tablas AR'!$B$4,1,IF('Análisis de Riesgos'!E321='Tablas AR'!$B$5,2,IF('Análisis de Riesgos'!E321='Tablas AR'!$B$6,3,"")))</f>
        <v/>
      </c>
      <c r="G321" s="23"/>
      <c r="H321" t="str">
        <f>IF(G321='Tablas AR'!$B$10,1,IF('Análisis de Riesgos'!G321='Tablas AR'!$B$11,2,IF('Análisis de Riesgos'!G321='Tablas AR'!$B$12,3,"")))</f>
        <v/>
      </c>
      <c r="I321" t="str">
        <f t="shared" si="4"/>
        <v/>
      </c>
    </row>
    <row r="322" spans="2:9" x14ac:dyDescent="0.25">
      <c r="B322" s="24" t="str">
        <f>IFERROR(INDEX(Activos!$B$3:$C$11, MATCH(C322,Activos!$B$3:$B$11),2),"")</f>
        <v/>
      </c>
      <c r="C322" s="24"/>
      <c r="D322" s="24"/>
      <c r="E322" s="23"/>
      <c r="F322" t="str">
        <f>IF(E322='Tablas AR'!$B$4,1,IF('Análisis de Riesgos'!E322='Tablas AR'!$B$5,2,IF('Análisis de Riesgos'!E322='Tablas AR'!$B$6,3,"")))</f>
        <v/>
      </c>
      <c r="G322" s="23"/>
      <c r="H322" t="str">
        <f>IF(G322='Tablas AR'!$B$10,1,IF('Análisis de Riesgos'!G322='Tablas AR'!$B$11,2,IF('Análisis de Riesgos'!G322='Tablas AR'!$B$12,3,"")))</f>
        <v/>
      </c>
      <c r="I322" t="str">
        <f t="shared" si="4"/>
        <v/>
      </c>
    </row>
    <row r="323" spans="2:9" x14ac:dyDescent="0.25">
      <c r="B323" s="24" t="str">
        <f>IFERROR(INDEX(Activos!$B$3:$C$11, MATCH(C323,Activos!$B$3:$B$11),2),"")</f>
        <v/>
      </c>
      <c r="C323" s="24"/>
      <c r="D323" s="24"/>
      <c r="E323" s="23"/>
      <c r="F323" t="str">
        <f>IF(E323='Tablas AR'!$B$4,1,IF('Análisis de Riesgos'!E323='Tablas AR'!$B$5,2,IF('Análisis de Riesgos'!E323='Tablas AR'!$B$6,3,"")))</f>
        <v/>
      </c>
      <c r="G323" s="23"/>
      <c r="H323" t="str">
        <f>IF(G323='Tablas AR'!$B$10,1,IF('Análisis de Riesgos'!G323='Tablas AR'!$B$11,2,IF('Análisis de Riesgos'!G323='Tablas AR'!$B$12,3,"")))</f>
        <v/>
      </c>
      <c r="I323" t="str">
        <f t="shared" si="4"/>
        <v/>
      </c>
    </row>
    <row r="324" spans="2:9" x14ac:dyDescent="0.25">
      <c r="B324" s="24" t="str">
        <f>IFERROR(INDEX(Activos!$B$3:$C$11, MATCH(C324,Activos!$B$3:$B$11),2),"")</f>
        <v/>
      </c>
      <c r="C324" s="24"/>
      <c r="D324" s="24"/>
      <c r="E324" s="23"/>
      <c r="F324" t="str">
        <f>IF(E324='Tablas AR'!$B$4,1,IF('Análisis de Riesgos'!E324='Tablas AR'!$B$5,2,IF('Análisis de Riesgos'!E324='Tablas AR'!$B$6,3,"")))</f>
        <v/>
      </c>
      <c r="G324" s="23"/>
      <c r="H324" t="str">
        <f>IF(G324='Tablas AR'!$B$10,1,IF('Análisis de Riesgos'!G324='Tablas AR'!$B$11,2,IF('Análisis de Riesgos'!G324='Tablas AR'!$B$12,3,"")))</f>
        <v/>
      </c>
      <c r="I324" t="str">
        <f t="shared" ref="I324:I387" si="5" xml:space="preserve"> IFERROR(F324*H324,"")</f>
        <v/>
      </c>
    </row>
    <row r="325" spans="2:9" x14ac:dyDescent="0.25">
      <c r="B325" s="24" t="str">
        <f>IFERROR(INDEX(Activos!$B$3:$C$11, MATCH(C325,Activos!$B$3:$B$11),2),"")</f>
        <v/>
      </c>
      <c r="C325" s="24"/>
      <c r="D325" s="24"/>
      <c r="E325" s="23"/>
      <c r="F325" t="str">
        <f>IF(E325='Tablas AR'!$B$4,1,IF('Análisis de Riesgos'!E325='Tablas AR'!$B$5,2,IF('Análisis de Riesgos'!E325='Tablas AR'!$B$6,3,"")))</f>
        <v/>
      </c>
      <c r="G325" s="23"/>
      <c r="H325" t="str">
        <f>IF(G325='Tablas AR'!$B$10,1,IF('Análisis de Riesgos'!G325='Tablas AR'!$B$11,2,IF('Análisis de Riesgos'!G325='Tablas AR'!$B$12,3,"")))</f>
        <v/>
      </c>
      <c r="I325" t="str">
        <f t="shared" si="5"/>
        <v/>
      </c>
    </row>
    <row r="326" spans="2:9" x14ac:dyDescent="0.25">
      <c r="B326" s="24" t="str">
        <f>IFERROR(INDEX(Activos!$B$3:$C$11, MATCH(C326,Activos!$B$3:$B$11),2),"")</f>
        <v/>
      </c>
      <c r="C326" s="24"/>
      <c r="D326" s="24"/>
      <c r="E326" s="23"/>
      <c r="F326" t="str">
        <f>IF(E326='Tablas AR'!$B$4,1,IF('Análisis de Riesgos'!E326='Tablas AR'!$B$5,2,IF('Análisis de Riesgos'!E326='Tablas AR'!$B$6,3,"")))</f>
        <v/>
      </c>
      <c r="G326" s="23"/>
      <c r="H326" t="str">
        <f>IF(G326='Tablas AR'!$B$10,1,IF('Análisis de Riesgos'!G326='Tablas AR'!$B$11,2,IF('Análisis de Riesgos'!G326='Tablas AR'!$B$12,3,"")))</f>
        <v/>
      </c>
      <c r="I326" t="str">
        <f t="shared" si="5"/>
        <v/>
      </c>
    </row>
    <row r="327" spans="2:9" x14ac:dyDescent="0.25">
      <c r="B327" s="24" t="str">
        <f>IFERROR(INDEX(Activos!$B$3:$C$11, MATCH(C327,Activos!$B$3:$B$11),2),"")</f>
        <v/>
      </c>
      <c r="C327" s="24"/>
      <c r="D327" s="24"/>
      <c r="E327" s="23"/>
      <c r="F327" t="str">
        <f>IF(E327='Tablas AR'!$B$4,1,IF('Análisis de Riesgos'!E327='Tablas AR'!$B$5,2,IF('Análisis de Riesgos'!E327='Tablas AR'!$B$6,3,"")))</f>
        <v/>
      </c>
      <c r="G327" s="23"/>
      <c r="H327" t="str">
        <f>IF(G327='Tablas AR'!$B$10,1,IF('Análisis de Riesgos'!G327='Tablas AR'!$B$11,2,IF('Análisis de Riesgos'!G327='Tablas AR'!$B$12,3,"")))</f>
        <v/>
      </c>
      <c r="I327" t="str">
        <f t="shared" si="5"/>
        <v/>
      </c>
    </row>
    <row r="328" spans="2:9" x14ac:dyDescent="0.25">
      <c r="B328" s="24" t="str">
        <f>IFERROR(INDEX(Activos!$B$3:$C$11, MATCH(C328,Activos!$B$3:$B$11),2),"")</f>
        <v/>
      </c>
      <c r="C328" s="24"/>
      <c r="D328" s="24"/>
      <c r="E328" s="23"/>
      <c r="F328" t="str">
        <f>IF(E328='Tablas AR'!$B$4,1,IF('Análisis de Riesgos'!E328='Tablas AR'!$B$5,2,IF('Análisis de Riesgos'!E328='Tablas AR'!$B$6,3,"")))</f>
        <v/>
      </c>
      <c r="G328" s="23"/>
      <c r="H328" t="str">
        <f>IF(G328='Tablas AR'!$B$10,1,IF('Análisis de Riesgos'!G328='Tablas AR'!$B$11,2,IF('Análisis de Riesgos'!G328='Tablas AR'!$B$12,3,"")))</f>
        <v/>
      </c>
      <c r="I328" t="str">
        <f t="shared" si="5"/>
        <v/>
      </c>
    </row>
    <row r="329" spans="2:9" x14ac:dyDescent="0.25">
      <c r="B329" s="24" t="str">
        <f>IFERROR(INDEX(Activos!$B$3:$C$11, MATCH(C329,Activos!$B$3:$B$11),2),"")</f>
        <v/>
      </c>
      <c r="C329" s="24"/>
      <c r="D329" s="24"/>
      <c r="E329" s="23"/>
      <c r="F329" t="str">
        <f>IF(E329='Tablas AR'!$B$4,1,IF('Análisis de Riesgos'!E329='Tablas AR'!$B$5,2,IF('Análisis de Riesgos'!E329='Tablas AR'!$B$6,3,"")))</f>
        <v/>
      </c>
      <c r="G329" s="23"/>
      <c r="H329" t="str">
        <f>IF(G329='Tablas AR'!$B$10,1,IF('Análisis de Riesgos'!G329='Tablas AR'!$B$11,2,IF('Análisis de Riesgos'!G329='Tablas AR'!$B$12,3,"")))</f>
        <v/>
      </c>
      <c r="I329" t="str">
        <f t="shared" si="5"/>
        <v/>
      </c>
    </row>
    <row r="330" spans="2:9" x14ac:dyDescent="0.25">
      <c r="B330" s="24" t="str">
        <f>IFERROR(INDEX(Activos!$B$3:$C$11, MATCH(C330,Activos!$B$3:$B$11),2),"")</f>
        <v/>
      </c>
      <c r="C330" s="24"/>
      <c r="D330" s="24"/>
      <c r="E330" s="23"/>
      <c r="F330" t="str">
        <f>IF(E330='Tablas AR'!$B$4,1,IF('Análisis de Riesgos'!E330='Tablas AR'!$B$5,2,IF('Análisis de Riesgos'!E330='Tablas AR'!$B$6,3,"")))</f>
        <v/>
      </c>
      <c r="G330" s="23"/>
      <c r="H330" t="str">
        <f>IF(G330='Tablas AR'!$B$10,1,IF('Análisis de Riesgos'!G330='Tablas AR'!$B$11,2,IF('Análisis de Riesgos'!G330='Tablas AR'!$B$12,3,"")))</f>
        <v/>
      </c>
      <c r="I330" t="str">
        <f t="shared" si="5"/>
        <v/>
      </c>
    </row>
    <row r="331" spans="2:9" x14ac:dyDescent="0.25">
      <c r="B331" s="24" t="str">
        <f>IFERROR(INDEX(Activos!$B$3:$C$11, MATCH(C331,Activos!$B$3:$B$11),2),"")</f>
        <v/>
      </c>
      <c r="C331" s="24"/>
      <c r="D331" s="24"/>
      <c r="E331" s="23"/>
      <c r="F331" t="str">
        <f>IF(E331='Tablas AR'!$B$4,1,IF('Análisis de Riesgos'!E331='Tablas AR'!$B$5,2,IF('Análisis de Riesgos'!E331='Tablas AR'!$B$6,3,"")))</f>
        <v/>
      </c>
      <c r="G331" s="23"/>
      <c r="H331" t="str">
        <f>IF(G331='Tablas AR'!$B$10,1,IF('Análisis de Riesgos'!G331='Tablas AR'!$B$11,2,IF('Análisis de Riesgos'!G331='Tablas AR'!$B$12,3,"")))</f>
        <v/>
      </c>
      <c r="I331" t="str">
        <f t="shared" si="5"/>
        <v/>
      </c>
    </row>
    <row r="332" spans="2:9" x14ac:dyDescent="0.25">
      <c r="B332" s="24" t="str">
        <f>IFERROR(INDEX(Activos!$B$3:$C$11, MATCH(C332,Activos!$B$3:$B$11),2),"")</f>
        <v/>
      </c>
      <c r="C332" s="24"/>
      <c r="D332" s="24"/>
      <c r="E332" s="23"/>
      <c r="F332" t="str">
        <f>IF(E332='Tablas AR'!$B$4,1,IF('Análisis de Riesgos'!E332='Tablas AR'!$B$5,2,IF('Análisis de Riesgos'!E332='Tablas AR'!$B$6,3,"")))</f>
        <v/>
      </c>
      <c r="G332" s="23"/>
      <c r="H332" t="str">
        <f>IF(G332='Tablas AR'!$B$10,1,IF('Análisis de Riesgos'!G332='Tablas AR'!$B$11,2,IF('Análisis de Riesgos'!G332='Tablas AR'!$B$12,3,"")))</f>
        <v/>
      </c>
      <c r="I332" t="str">
        <f t="shared" si="5"/>
        <v/>
      </c>
    </row>
    <row r="333" spans="2:9" x14ac:dyDescent="0.25">
      <c r="B333" s="24" t="str">
        <f>IFERROR(INDEX(Activos!$B$3:$C$11, MATCH(C333,Activos!$B$3:$B$11),2),"")</f>
        <v/>
      </c>
      <c r="C333" s="24"/>
      <c r="D333" s="24"/>
      <c r="E333" s="23"/>
      <c r="F333" t="str">
        <f>IF(E333='Tablas AR'!$B$4,1,IF('Análisis de Riesgos'!E333='Tablas AR'!$B$5,2,IF('Análisis de Riesgos'!E333='Tablas AR'!$B$6,3,"")))</f>
        <v/>
      </c>
      <c r="G333" s="23"/>
      <c r="H333" t="str">
        <f>IF(G333='Tablas AR'!$B$10,1,IF('Análisis de Riesgos'!G333='Tablas AR'!$B$11,2,IF('Análisis de Riesgos'!G333='Tablas AR'!$B$12,3,"")))</f>
        <v/>
      </c>
      <c r="I333" t="str">
        <f t="shared" si="5"/>
        <v/>
      </c>
    </row>
    <row r="334" spans="2:9" x14ac:dyDescent="0.25">
      <c r="B334" s="24" t="str">
        <f>IFERROR(INDEX(Activos!$B$3:$C$11, MATCH(C334,Activos!$B$3:$B$11),2),"")</f>
        <v/>
      </c>
      <c r="C334" s="24"/>
      <c r="D334" s="24"/>
      <c r="E334" s="23"/>
      <c r="F334" t="str">
        <f>IF(E334='Tablas AR'!$B$4,1,IF('Análisis de Riesgos'!E334='Tablas AR'!$B$5,2,IF('Análisis de Riesgos'!E334='Tablas AR'!$B$6,3,"")))</f>
        <v/>
      </c>
      <c r="G334" s="23"/>
      <c r="H334" t="str">
        <f>IF(G334='Tablas AR'!$B$10,1,IF('Análisis de Riesgos'!G334='Tablas AR'!$B$11,2,IF('Análisis de Riesgos'!G334='Tablas AR'!$B$12,3,"")))</f>
        <v/>
      </c>
      <c r="I334" t="str">
        <f t="shared" si="5"/>
        <v/>
      </c>
    </row>
    <row r="335" spans="2:9" x14ac:dyDescent="0.25">
      <c r="B335" s="24" t="str">
        <f>IFERROR(INDEX(Activos!$B$3:$C$11, MATCH(C335,Activos!$B$3:$B$11),2),"")</f>
        <v/>
      </c>
      <c r="C335" s="24"/>
      <c r="D335" s="24"/>
      <c r="E335" s="23"/>
      <c r="F335" t="str">
        <f>IF(E335='Tablas AR'!$B$4,1,IF('Análisis de Riesgos'!E335='Tablas AR'!$B$5,2,IF('Análisis de Riesgos'!E335='Tablas AR'!$B$6,3,"")))</f>
        <v/>
      </c>
      <c r="G335" s="23"/>
      <c r="H335" t="str">
        <f>IF(G335='Tablas AR'!$B$10,1,IF('Análisis de Riesgos'!G335='Tablas AR'!$B$11,2,IF('Análisis de Riesgos'!G335='Tablas AR'!$B$12,3,"")))</f>
        <v/>
      </c>
      <c r="I335" t="str">
        <f t="shared" si="5"/>
        <v/>
      </c>
    </row>
    <row r="336" spans="2:9" x14ac:dyDescent="0.25">
      <c r="B336" s="24" t="str">
        <f>IFERROR(INDEX(Activos!$B$3:$C$11, MATCH(C336,Activos!$B$3:$B$11),2),"")</f>
        <v/>
      </c>
      <c r="C336" s="24"/>
      <c r="D336" s="24"/>
      <c r="E336" s="23"/>
      <c r="F336" t="str">
        <f>IF(E336='Tablas AR'!$B$4,1,IF('Análisis de Riesgos'!E336='Tablas AR'!$B$5,2,IF('Análisis de Riesgos'!E336='Tablas AR'!$B$6,3,"")))</f>
        <v/>
      </c>
      <c r="G336" s="23"/>
      <c r="H336" t="str">
        <f>IF(G336='Tablas AR'!$B$10,1,IF('Análisis de Riesgos'!G336='Tablas AR'!$B$11,2,IF('Análisis de Riesgos'!G336='Tablas AR'!$B$12,3,"")))</f>
        <v/>
      </c>
      <c r="I336" t="str">
        <f t="shared" si="5"/>
        <v/>
      </c>
    </row>
    <row r="337" spans="2:9" x14ac:dyDescent="0.25">
      <c r="B337" s="24" t="str">
        <f>IFERROR(INDEX(Activos!$B$3:$C$11, MATCH(C337,Activos!$B$3:$B$11),2),"")</f>
        <v/>
      </c>
      <c r="C337" s="24"/>
      <c r="D337" s="24"/>
      <c r="E337" s="23"/>
      <c r="F337" t="str">
        <f>IF(E337='Tablas AR'!$B$4,1,IF('Análisis de Riesgos'!E337='Tablas AR'!$B$5,2,IF('Análisis de Riesgos'!E337='Tablas AR'!$B$6,3,"")))</f>
        <v/>
      </c>
      <c r="G337" s="23"/>
      <c r="H337" t="str">
        <f>IF(G337='Tablas AR'!$B$10,1,IF('Análisis de Riesgos'!G337='Tablas AR'!$B$11,2,IF('Análisis de Riesgos'!G337='Tablas AR'!$B$12,3,"")))</f>
        <v/>
      </c>
      <c r="I337" t="str">
        <f t="shared" si="5"/>
        <v/>
      </c>
    </row>
    <row r="338" spans="2:9" x14ac:dyDescent="0.25">
      <c r="B338" s="24" t="str">
        <f>IFERROR(INDEX(Activos!$B$3:$C$11, MATCH(C338,Activos!$B$3:$B$11),2),"")</f>
        <v/>
      </c>
      <c r="C338" s="24"/>
      <c r="D338" s="24"/>
      <c r="E338" s="23"/>
      <c r="F338" t="str">
        <f>IF(E338='Tablas AR'!$B$4,1,IF('Análisis de Riesgos'!E338='Tablas AR'!$B$5,2,IF('Análisis de Riesgos'!E338='Tablas AR'!$B$6,3,"")))</f>
        <v/>
      </c>
      <c r="G338" s="23"/>
      <c r="H338" t="str">
        <f>IF(G338='Tablas AR'!$B$10,1,IF('Análisis de Riesgos'!G338='Tablas AR'!$B$11,2,IF('Análisis de Riesgos'!G338='Tablas AR'!$B$12,3,"")))</f>
        <v/>
      </c>
      <c r="I338" t="str">
        <f t="shared" si="5"/>
        <v/>
      </c>
    </row>
    <row r="339" spans="2:9" x14ac:dyDescent="0.25">
      <c r="B339" s="24" t="str">
        <f>IFERROR(INDEX(Activos!$B$3:$C$11, MATCH(C339,Activos!$B$3:$B$11),2),"")</f>
        <v/>
      </c>
      <c r="C339" s="24"/>
      <c r="D339" s="24"/>
      <c r="E339" s="23"/>
      <c r="F339" t="str">
        <f>IF(E339='Tablas AR'!$B$4,1,IF('Análisis de Riesgos'!E339='Tablas AR'!$B$5,2,IF('Análisis de Riesgos'!E339='Tablas AR'!$B$6,3,"")))</f>
        <v/>
      </c>
      <c r="G339" s="23"/>
      <c r="H339" t="str">
        <f>IF(G339='Tablas AR'!$B$10,1,IF('Análisis de Riesgos'!G339='Tablas AR'!$B$11,2,IF('Análisis de Riesgos'!G339='Tablas AR'!$B$12,3,"")))</f>
        <v/>
      </c>
      <c r="I339" t="str">
        <f t="shared" si="5"/>
        <v/>
      </c>
    </row>
    <row r="340" spans="2:9" x14ac:dyDescent="0.25">
      <c r="B340" s="24" t="str">
        <f>IFERROR(INDEX(Activos!$B$3:$C$11, MATCH(C340,Activos!$B$3:$B$11),2),"")</f>
        <v/>
      </c>
      <c r="C340" s="24"/>
      <c r="D340" s="24"/>
      <c r="E340" s="23"/>
      <c r="F340" t="str">
        <f>IF(E340='Tablas AR'!$B$4,1,IF('Análisis de Riesgos'!E340='Tablas AR'!$B$5,2,IF('Análisis de Riesgos'!E340='Tablas AR'!$B$6,3,"")))</f>
        <v/>
      </c>
      <c r="G340" s="23"/>
      <c r="H340" t="str">
        <f>IF(G340='Tablas AR'!$B$10,1,IF('Análisis de Riesgos'!G340='Tablas AR'!$B$11,2,IF('Análisis de Riesgos'!G340='Tablas AR'!$B$12,3,"")))</f>
        <v/>
      </c>
      <c r="I340" t="str">
        <f t="shared" si="5"/>
        <v/>
      </c>
    </row>
    <row r="341" spans="2:9" x14ac:dyDescent="0.25">
      <c r="B341" s="24" t="str">
        <f>IFERROR(INDEX(Activos!$B$3:$C$11, MATCH(C341,Activos!$B$3:$B$11),2),"")</f>
        <v/>
      </c>
      <c r="C341" s="24"/>
      <c r="D341" s="24"/>
      <c r="E341" s="23"/>
      <c r="F341" t="str">
        <f>IF(E341='Tablas AR'!$B$4,1,IF('Análisis de Riesgos'!E341='Tablas AR'!$B$5,2,IF('Análisis de Riesgos'!E341='Tablas AR'!$B$6,3,"")))</f>
        <v/>
      </c>
      <c r="G341" s="23"/>
      <c r="H341" t="str">
        <f>IF(G341='Tablas AR'!$B$10,1,IF('Análisis de Riesgos'!G341='Tablas AR'!$B$11,2,IF('Análisis de Riesgos'!G341='Tablas AR'!$B$12,3,"")))</f>
        <v/>
      </c>
      <c r="I341" t="str">
        <f t="shared" si="5"/>
        <v/>
      </c>
    </row>
    <row r="342" spans="2:9" x14ac:dyDescent="0.25">
      <c r="B342" s="24" t="str">
        <f>IFERROR(INDEX(Activos!$B$3:$C$11, MATCH(C342,Activos!$B$3:$B$11),2),"")</f>
        <v/>
      </c>
      <c r="C342" s="24"/>
      <c r="D342" s="24"/>
      <c r="E342" s="23"/>
      <c r="F342" t="str">
        <f>IF(E342='Tablas AR'!$B$4,1,IF('Análisis de Riesgos'!E342='Tablas AR'!$B$5,2,IF('Análisis de Riesgos'!E342='Tablas AR'!$B$6,3,"")))</f>
        <v/>
      </c>
      <c r="G342" s="23"/>
      <c r="H342" t="str">
        <f>IF(G342='Tablas AR'!$B$10,1,IF('Análisis de Riesgos'!G342='Tablas AR'!$B$11,2,IF('Análisis de Riesgos'!G342='Tablas AR'!$B$12,3,"")))</f>
        <v/>
      </c>
      <c r="I342" t="str">
        <f t="shared" si="5"/>
        <v/>
      </c>
    </row>
    <row r="343" spans="2:9" x14ac:dyDescent="0.25">
      <c r="B343" s="24" t="str">
        <f>IFERROR(INDEX(Activos!$B$3:$C$11, MATCH(C343,Activos!$B$3:$B$11),2),"")</f>
        <v/>
      </c>
      <c r="C343" s="24"/>
      <c r="D343" s="24"/>
      <c r="E343" s="23"/>
      <c r="F343" t="str">
        <f>IF(E343='Tablas AR'!$B$4,1,IF('Análisis de Riesgos'!E343='Tablas AR'!$B$5,2,IF('Análisis de Riesgos'!E343='Tablas AR'!$B$6,3,"")))</f>
        <v/>
      </c>
      <c r="G343" s="23"/>
      <c r="H343" t="str">
        <f>IF(G343='Tablas AR'!$B$10,1,IF('Análisis de Riesgos'!G343='Tablas AR'!$B$11,2,IF('Análisis de Riesgos'!G343='Tablas AR'!$B$12,3,"")))</f>
        <v/>
      </c>
      <c r="I343" t="str">
        <f t="shared" si="5"/>
        <v/>
      </c>
    </row>
    <row r="344" spans="2:9" x14ac:dyDescent="0.25">
      <c r="B344" s="24" t="str">
        <f>IFERROR(INDEX(Activos!$B$3:$C$11, MATCH(C344,Activos!$B$3:$B$11),2),"")</f>
        <v/>
      </c>
      <c r="C344" s="24"/>
      <c r="D344" s="24"/>
      <c r="E344" s="23"/>
      <c r="F344" t="str">
        <f>IF(E344='Tablas AR'!$B$4,1,IF('Análisis de Riesgos'!E344='Tablas AR'!$B$5,2,IF('Análisis de Riesgos'!E344='Tablas AR'!$B$6,3,"")))</f>
        <v/>
      </c>
      <c r="G344" s="23"/>
      <c r="H344" t="str">
        <f>IF(G344='Tablas AR'!$B$10,1,IF('Análisis de Riesgos'!G344='Tablas AR'!$B$11,2,IF('Análisis de Riesgos'!G344='Tablas AR'!$B$12,3,"")))</f>
        <v/>
      </c>
      <c r="I344" t="str">
        <f t="shared" si="5"/>
        <v/>
      </c>
    </row>
    <row r="345" spans="2:9" x14ac:dyDescent="0.25">
      <c r="B345" s="24" t="str">
        <f>IFERROR(INDEX(Activos!$B$3:$C$11, MATCH(C345,Activos!$B$3:$B$11),2),"")</f>
        <v/>
      </c>
      <c r="C345" s="24"/>
      <c r="D345" s="24"/>
      <c r="E345" s="23"/>
      <c r="F345" t="str">
        <f>IF(E345='Tablas AR'!$B$4,1,IF('Análisis de Riesgos'!E345='Tablas AR'!$B$5,2,IF('Análisis de Riesgos'!E345='Tablas AR'!$B$6,3,"")))</f>
        <v/>
      </c>
      <c r="G345" s="23"/>
      <c r="H345" t="str">
        <f>IF(G345='Tablas AR'!$B$10,1,IF('Análisis de Riesgos'!G345='Tablas AR'!$B$11,2,IF('Análisis de Riesgos'!G345='Tablas AR'!$B$12,3,"")))</f>
        <v/>
      </c>
      <c r="I345" t="str">
        <f t="shared" si="5"/>
        <v/>
      </c>
    </row>
    <row r="346" spans="2:9" x14ac:dyDescent="0.25">
      <c r="B346" s="24" t="str">
        <f>IFERROR(INDEX(Activos!$B$3:$C$11, MATCH(C346,Activos!$B$3:$B$11),2),"")</f>
        <v/>
      </c>
      <c r="C346" s="24"/>
      <c r="D346" s="24"/>
      <c r="E346" s="23"/>
      <c r="F346" t="str">
        <f>IF(E346='Tablas AR'!$B$4,1,IF('Análisis de Riesgos'!E346='Tablas AR'!$B$5,2,IF('Análisis de Riesgos'!E346='Tablas AR'!$B$6,3,"")))</f>
        <v/>
      </c>
      <c r="G346" s="23"/>
      <c r="H346" t="str">
        <f>IF(G346='Tablas AR'!$B$10,1,IF('Análisis de Riesgos'!G346='Tablas AR'!$B$11,2,IF('Análisis de Riesgos'!G346='Tablas AR'!$B$12,3,"")))</f>
        <v/>
      </c>
      <c r="I346" t="str">
        <f t="shared" si="5"/>
        <v/>
      </c>
    </row>
    <row r="347" spans="2:9" x14ac:dyDescent="0.25">
      <c r="B347" s="24" t="str">
        <f>IFERROR(INDEX(Activos!$B$3:$C$11, MATCH(C347,Activos!$B$3:$B$11),2),"")</f>
        <v/>
      </c>
      <c r="C347" s="24"/>
      <c r="D347" s="24"/>
      <c r="E347" s="23"/>
      <c r="F347" t="str">
        <f>IF(E347='Tablas AR'!$B$4,1,IF('Análisis de Riesgos'!E347='Tablas AR'!$B$5,2,IF('Análisis de Riesgos'!E347='Tablas AR'!$B$6,3,"")))</f>
        <v/>
      </c>
      <c r="G347" s="23"/>
      <c r="H347" t="str">
        <f>IF(G347='Tablas AR'!$B$10,1,IF('Análisis de Riesgos'!G347='Tablas AR'!$B$11,2,IF('Análisis de Riesgos'!G347='Tablas AR'!$B$12,3,"")))</f>
        <v/>
      </c>
      <c r="I347" t="str">
        <f t="shared" si="5"/>
        <v/>
      </c>
    </row>
    <row r="348" spans="2:9" x14ac:dyDescent="0.25">
      <c r="B348" s="24" t="str">
        <f>IFERROR(INDEX(Activos!$B$3:$C$11, MATCH(C348,Activos!$B$3:$B$11),2),"")</f>
        <v/>
      </c>
      <c r="C348" s="24"/>
      <c r="D348" s="24"/>
      <c r="E348" s="23"/>
      <c r="F348" t="str">
        <f>IF(E348='Tablas AR'!$B$4,1,IF('Análisis de Riesgos'!E348='Tablas AR'!$B$5,2,IF('Análisis de Riesgos'!E348='Tablas AR'!$B$6,3,"")))</f>
        <v/>
      </c>
      <c r="G348" s="23"/>
      <c r="H348" t="str">
        <f>IF(G348='Tablas AR'!$B$10,1,IF('Análisis de Riesgos'!G348='Tablas AR'!$B$11,2,IF('Análisis de Riesgos'!G348='Tablas AR'!$B$12,3,"")))</f>
        <v/>
      </c>
      <c r="I348" t="str">
        <f t="shared" si="5"/>
        <v/>
      </c>
    </row>
    <row r="349" spans="2:9" x14ac:dyDescent="0.25">
      <c r="B349" s="24" t="str">
        <f>IFERROR(INDEX(Activos!$B$3:$C$11, MATCH(C349,Activos!$B$3:$B$11),2),"")</f>
        <v/>
      </c>
      <c r="C349" s="24"/>
      <c r="D349" s="24"/>
      <c r="E349" s="23"/>
      <c r="F349" t="str">
        <f>IF(E349='Tablas AR'!$B$4,1,IF('Análisis de Riesgos'!E349='Tablas AR'!$B$5,2,IF('Análisis de Riesgos'!E349='Tablas AR'!$B$6,3,"")))</f>
        <v/>
      </c>
      <c r="G349" s="23"/>
      <c r="H349" t="str">
        <f>IF(G349='Tablas AR'!$B$10,1,IF('Análisis de Riesgos'!G349='Tablas AR'!$B$11,2,IF('Análisis de Riesgos'!G349='Tablas AR'!$B$12,3,"")))</f>
        <v/>
      </c>
      <c r="I349" t="str">
        <f t="shared" si="5"/>
        <v/>
      </c>
    </row>
    <row r="350" spans="2:9" x14ac:dyDescent="0.25">
      <c r="B350" s="24" t="str">
        <f>IFERROR(INDEX(Activos!$B$3:$C$11, MATCH(C350,Activos!$B$3:$B$11),2),"")</f>
        <v/>
      </c>
      <c r="C350" s="24"/>
      <c r="D350" s="24"/>
      <c r="E350" s="23"/>
      <c r="F350" t="str">
        <f>IF(E350='Tablas AR'!$B$4,1,IF('Análisis de Riesgos'!E350='Tablas AR'!$B$5,2,IF('Análisis de Riesgos'!E350='Tablas AR'!$B$6,3,"")))</f>
        <v/>
      </c>
      <c r="G350" s="23"/>
      <c r="H350" t="str">
        <f>IF(G350='Tablas AR'!$B$10,1,IF('Análisis de Riesgos'!G350='Tablas AR'!$B$11,2,IF('Análisis de Riesgos'!G350='Tablas AR'!$B$12,3,"")))</f>
        <v/>
      </c>
      <c r="I350" t="str">
        <f t="shared" si="5"/>
        <v/>
      </c>
    </row>
    <row r="351" spans="2:9" x14ac:dyDescent="0.25">
      <c r="B351" s="24" t="str">
        <f>IFERROR(INDEX(Activos!$B$3:$C$11, MATCH(C351,Activos!$B$3:$B$11),2),"")</f>
        <v/>
      </c>
      <c r="C351" s="24"/>
      <c r="D351" s="24"/>
      <c r="E351" s="23"/>
      <c r="F351" t="str">
        <f>IF(E351='Tablas AR'!$B$4,1,IF('Análisis de Riesgos'!E351='Tablas AR'!$B$5,2,IF('Análisis de Riesgos'!E351='Tablas AR'!$B$6,3,"")))</f>
        <v/>
      </c>
      <c r="G351" s="23"/>
      <c r="H351" t="str">
        <f>IF(G351='Tablas AR'!$B$10,1,IF('Análisis de Riesgos'!G351='Tablas AR'!$B$11,2,IF('Análisis de Riesgos'!G351='Tablas AR'!$B$12,3,"")))</f>
        <v/>
      </c>
      <c r="I351" t="str">
        <f t="shared" si="5"/>
        <v/>
      </c>
    </row>
    <row r="352" spans="2:9" x14ac:dyDescent="0.25">
      <c r="B352" s="24" t="str">
        <f>IFERROR(INDEX(Activos!$B$3:$C$11, MATCH(C352,Activos!$B$3:$B$11),2),"")</f>
        <v/>
      </c>
      <c r="C352" s="24"/>
      <c r="D352" s="24"/>
      <c r="E352" s="23"/>
      <c r="F352" t="str">
        <f>IF(E352='Tablas AR'!$B$4,1,IF('Análisis de Riesgos'!E352='Tablas AR'!$B$5,2,IF('Análisis de Riesgos'!E352='Tablas AR'!$B$6,3,"")))</f>
        <v/>
      </c>
      <c r="G352" s="23"/>
      <c r="H352" t="str">
        <f>IF(G352='Tablas AR'!$B$10,1,IF('Análisis de Riesgos'!G352='Tablas AR'!$B$11,2,IF('Análisis de Riesgos'!G352='Tablas AR'!$B$12,3,"")))</f>
        <v/>
      </c>
      <c r="I352" t="str">
        <f t="shared" si="5"/>
        <v/>
      </c>
    </row>
    <row r="353" spans="2:9" x14ac:dyDescent="0.25">
      <c r="B353" s="24" t="str">
        <f>IFERROR(INDEX(Activos!$B$3:$C$11, MATCH(C353,Activos!$B$3:$B$11),2),"")</f>
        <v/>
      </c>
      <c r="C353" s="24"/>
      <c r="D353" s="24"/>
      <c r="E353" s="23"/>
      <c r="F353" t="str">
        <f>IF(E353='Tablas AR'!$B$4,1,IF('Análisis de Riesgos'!E353='Tablas AR'!$B$5,2,IF('Análisis de Riesgos'!E353='Tablas AR'!$B$6,3,"")))</f>
        <v/>
      </c>
      <c r="G353" s="23"/>
      <c r="H353" t="str">
        <f>IF(G353='Tablas AR'!$B$10,1,IF('Análisis de Riesgos'!G353='Tablas AR'!$B$11,2,IF('Análisis de Riesgos'!G353='Tablas AR'!$B$12,3,"")))</f>
        <v/>
      </c>
      <c r="I353" t="str">
        <f t="shared" si="5"/>
        <v/>
      </c>
    </row>
    <row r="354" spans="2:9" x14ac:dyDescent="0.25">
      <c r="B354" s="24" t="str">
        <f>IFERROR(INDEX(Activos!$B$3:$C$11, MATCH(C354,Activos!$B$3:$B$11),2),"")</f>
        <v/>
      </c>
      <c r="C354" s="24"/>
      <c r="D354" s="24"/>
      <c r="E354" s="23"/>
      <c r="F354" t="str">
        <f>IF(E354='Tablas AR'!$B$4,1,IF('Análisis de Riesgos'!E354='Tablas AR'!$B$5,2,IF('Análisis de Riesgos'!E354='Tablas AR'!$B$6,3,"")))</f>
        <v/>
      </c>
      <c r="G354" s="23"/>
      <c r="H354" t="str">
        <f>IF(G354='Tablas AR'!$B$10,1,IF('Análisis de Riesgos'!G354='Tablas AR'!$B$11,2,IF('Análisis de Riesgos'!G354='Tablas AR'!$B$12,3,"")))</f>
        <v/>
      </c>
      <c r="I354" t="str">
        <f t="shared" si="5"/>
        <v/>
      </c>
    </row>
    <row r="355" spans="2:9" x14ac:dyDescent="0.25">
      <c r="B355" s="24" t="str">
        <f>IFERROR(INDEX(Activos!$B$3:$C$11, MATCH(C355,Activos!$B$3:$B$11),2),"")</f>
        <v/>
      </c>
      <c r="C355" s="24"/>
      <c r="D355" s="24"/>
      <c r="E355" s="23"/>
      <c r="F355" t="str">
        <f>IF(E355='Tablas AR'!$B$4,1,IF('Análisis de Riesgos'!E355='Tablas AR'!$B$5,2,IF('Análisis de Riesgos'!E355='Tablas AR'!$B$6,3,"")))</f>
        <v/>
      </c>
      <c r="G355" s="23"/>
      <c r="H355" t="str">
        <f>IF(G355='Tablas AR'!$B$10,1,IF('Análisis de Riesgos'!G355='Tablas AR'!$B$11,2,IF('Análisis de Riesgos'!G355='Tablas AR'!$B$12,3,"")))</f>
        <v/>
      </c>
      <c r="I355" t="str">
        <f t="shared" si="5"/>
        <v/>
      </c>
    </row>
    <row r="356" spans="2:9" x14ac:dyDescent="0.25">
      <c r="B356" s="24" t="str">
        <f>IFERROR(INDEX(Activos!$B$3:$C$11, MATCH(C356,Activos!$B$3:$B$11),2),"")</f>
        <v/>
      </c>
      <c r="C356" s="24"/>
      <c r="D356" s="24"/>
      <c r="E356" s="23"/>
      <c r="F356" t="str">
        <f>IF(E356='Tablas AR'!$B$4,1,IF('Análisis de Riesgos'!E356='Tablas AR'!$B$5,2,IF('Análisis de Riesgos'!E356='Tablas AR'!$B$6,3,"")))</f>
        <v/>
      </c>
      <c r="G356" s="23"/>
      <c r="H356" t="str">
        <f>IF(G356='Tablas AR'!$B$10,1,IF('Análisis de Riesgos'!G356='Tablas AR'!$B$11,2,IF('Análisis de Riesgos'!G356='Tablas AR'!$B$12,3,"")))</f>
        <v/>
      </c>
      <c r="I356" t="str">
        <f t="shared" si="5"/>
        <v/>
      </c>
    </row>
    <row r="357" spans="2:9" x14ac:dyDescent="0.25">
      <c r="B357" s="24" t="str">
        <f>IFERROR(INDEX(Activos!$B$3:$C$11, MATCH(C357,Activos!$B$3:$B$11),2),"")</f>
        <v/>
      </c>
      <c r="C357" s="24"/>
      <c r="D357" s="24"/>
      <c r="E357" s="23"/>
      <c r="F357" t="str">
        <f>IF(E357='Tablas AR'!$B$4,1,IF('Análisis de Riesgos'!E357='Tablas AR'!$B$5,2,IF('Análisis de Riesgos'!E357='Tablas AR'!$B$6,3,"")))</f>
        <v/>
      </c>
      <c r="G357" s="23"/>
      <c r="H357" t="str">
        <f>IF(G357='Tablas AR'!$B$10,1,IF('Análisis de Riesgos'!G357='Tablas AR'!$B$11,2,IF('Análisis de Riesgos'!G357='Tablas AR'!$B$12,3,"")))</f>
        <v/>
      </c>
      <c r="I357" t="str">
        <f t="shared" si="5"/>
        <v/>
      </c>
    </row>
    <row r="358" spans="2:9" x14ac:dyDescent="0.25">
      <c r="B358" s="24" t="str">
        <f>IFERROR(INDEX(Activos!$B$3:$C$11, MATCH(C358,Activos!$B$3:$B$11),2),"")</f>
        <v/>
      </c>
      <c r="C358" s="24"/>
      <c r="D358" s="24"/>
      <c r="E358" s="23"/>
      <c r="F358" t="str">
        <f>IF(E358='Tablas AR'!$B$4,1,IF('Análisis de Riesgos'!E358='Tablas AR'!$B$5,2,IF('Análisis de Riesgos'!E358='Tablas AR'!$B$6,3,"")))</f>
        <v/>
      </c>
      <c r="G358" s="23"/>
      <c r="H358" t="str">
        <f>IF(G358='Tablas AR'!$B$10,1,IF('Análisis de Riesgos'!G358='Tablas AR'!$B$11,2,IF('Análisis de Riesgos'!G358='Tablas AR'!$B$12,3,"")))</f>
        <v/>
      </c>
      <c r="I358" t="str">
        <f t="shared" si="5"/>
        <v/>
      </c>
    </row>
    <row r="359" spans="2:9" x14ac:dyDescent="0.25">
      <c r="B359" s="24" t="str">
        <f>IFERROR(INDEX(Activos!$B$3:$C$11, MATCH(C359,Activos!$B$3:$B$11),2),"")</f>
        <v/>
      </c>
      <c r="C359" s="24"/>
      <c r="D359" s="24"/>
      <c r="E359" s="23"/>
      <c r="F359" t="str">
        <f>IF(E359='Tablas AR'!$B$4,1,IF('Análisis de Riesgos'!E359='Tablas AR'!$B$5,2,IF('Análisis de Riesgos'!E359='Tablas AR'!$B$6,3,"")))</f>
        <v/>
      </c>
      <c r="G359" s="23"/>
      <c r="H359" t="str">
        <f>IF(G359='Tablas AR'!$B$10,1,IF('Análisis de Riesgos'!G359='Tablas AR'!$B$11,2,IF('Análisis de Riesgos'!G359='Tablas AR'!$B$12,3,"")))</f>
        <v/>
      </c>
      <c r="I359" t="str">
        <f t="shared" si="5"/>
        <v/>
      </c>
    </row>
    <row r="360" spans="2:9" x14ac:dyDescent="0.25">
      <c r="B360" s="24" t="str">
        <f>IFERROR(INDEX(Activos!$B$3:$C$11, MATCH(C360,Activos!$B$3:$B$11),2),"")</f>
        <v/>
      </c>
      <c r="C360" s="24"/>
      <c r="D360" s="24"/>
      <c r="E360" s="23"/>
      <c r="F360" t="str">
        <f>IF(E360='Tablas AR'!$B$4,1,IF('Análisis de Riesgos'!E360='Tablas AR'!$B$5,2,IF('Análisis de Riesgos'!E360='Tablas AR'!$B$6,3,"")))</f>
        <v/>
      </c>
      <c r="G360" s="23"/>
      <c r="H360" t="str">
        <f>IF(G360='Tablas AR'!$B$10,1,IF('Análisis de Riesgos'!G360='Tablas AR'!$B$11,2,IF('Análisis de Riesgos'!G360='Tablas AR'!$B$12,3,"")))</f>
        <v/>
      </c>
      <c r="I360" t="str">
        <f t="shared" si="5"/>
        <v/>
      </c>
    </row>
    <row r="361" spans="2:9" x14ac:dyDescent="0.25">
      <c r="B361" s="24" t="str">
        <f>IFERROR(INDEX(Activos!$B$3:$C$11, MATCH(C361,Activos!$B$3:$B$11),2),"")</f>
        <v/>
      </c>
      <c r="C361" s="24"/>
      <c r="D361" s="24"/>
      <c r="E361" s="23"/>
      <c r="F361" t="str">
        <f>IF(E361='Tablas AR'!$B$4,1,IF('Análisis de Riesgos'!E361='Tablas AR'!$B$5,2,IF('Análisis de Riesgos'!E361='Tablas AR'!$B$6,3,"")))</f>
        <v/>
      </c>
      <c r="G361" s="23"/>
      <c r="H361" t="str">
        <f>IF(G361='Tablas AR'!$B$10,1,IF('Análisis de Riesgos'!G361='Tablas AR'!$B$11,2,IF('Análisis de Riesgos'!G361='Tablas AR'!$B$12,3,"")))</f>
        <v/>
      </c>
      <c r="I361" t="str">
        <f t="shared" si="5"/>
        <v/>
      </c>
    </row>
    <row r="362" spans="2:9" x14ac:dyDescent="0.25">
      <c r="B362" s="24" t="str">
        <f>IFERROR(INDEX(Activos!$B$3:$C$11, MATCH(C362,Activos!$B$3:$B$11),2),"")</f>
        <v/>
      </c>
      <c r="C362" s="24"/>
      <c r="D362" s="24"/>
      <c r="E362" s="23"/>
      <c r="F362" t="str">
        <f>IF(E362='Tablas AR'!$B$4,1,IF('Análisis de Riesgos'!E362='Tablas AR'!$B$5,2,IF('Análisis de Riesgos'!E362='Tablas AR'!$B$6,3,"")))</f>
        <v/>
      </c>
      <c r="G362" s="23"/>
      <c r="H362" t="str">
        <f>IF(G362='Tablas AR'!$B$10,1,IF('Análisis de Riesgos'!G362='Tablas AR'!$B$11,2,IF('Análisis de Riesgos'!G362='Tablas AR'!$B$12,3,"")))</f>
        <v/>
      </c>
      <c r="I362" t="str">
        <f t="shared" si="5"/>
        <v/>
      </c>
    </row>
    <row r="363" spans="2:9" x14ac:dyDescent="0.25">
      <c r="B363" s="24" t="str">
        <f>IFERROR(INDEX(Activos!$B$3:$C$11, MATCH(C363,Activos!$B$3:$B$11),2),"")</f>
        <v/>
      </c>
      <c r="C363" s="24"/>
      <c r="D363" s="24"/>
      <c r="E363" s="23"/>
      <c r="F363" t="str">
        <f>IF(E363='Tablas AR'!$B$4,1,IF('Análisis de Riesgos'!E363='Tablas AR'!$B$5,2,IF('Análisis de Riesgos'!E363='Tablas AR'!$B$6,3,"")))</f>
        <v/>
      </c>
      <c r="G363" s="23"/>
      <c r="H363" t="str">
        <f>IF(G363='Tablas AR'!$B$10,1,IF('Análisis de Riesgos'!G363='Tablas AR'!$B$11,2,IF('Análisis de Riesgos'!G363='Tablas AR'!$B$12,3,"")))</f>
        <v/>
      </c>
      <c r="I363" t="str">
        <f t="shared" si="5"/>
        <v/>
      </c>
    </row>
    <row r="364" spans="2:9" x14ac:dyDescent="0.25">
      <c r="B364" s="24" t="str">
        <f>IFERROR(INDEX(Activos!$B$3:$C$11, MATCH(C364,Activos!$B$3:$B$11),2),"")</f>
        <v/>
      </c>
      <c r="C364" s="24"/>
      <c r="D364" s="24"/>
      <c r="E364" s="23"/>
      <c r="F364" t="str">
        <f>IF(E364='Tablas AR'!$B$4,1,IF('Análisis de Riesgos'!E364='Tablas AR'!$B$5,2,IF('Análisis de Riesgos'!E364='Tablas AR'!$B$6,3,"")))</f>
        <v/>
      </c>
      <c r="G364" s="23"/>
      <c r="H364" t="str">
        <f>IF(G364='Tablas AR'!$B$10,1,IF('Análisis de Riesgos'!G364='Tablas AR'!$B$11,2,IF('Análisis de Riesgos'!G364='Tablas AR'!$B$12,3,"")))</f>
        <v/>
      </c>
      <c r="I364" t="str">
        <f t="shared" si="5"/>
        <v/>
      </c>
    </row>
    <row r="365" spans="2:9" x14ac:dyDescent="0.25">
      <c r="B365" s="24" t="str">
        <f>IFERROR(INDEX(Activos!$B$3:$C$11, MATCH(C365,Activos!$B$3:$B$11),2),"")</f>
        <v/>
      </c>
      <c r="C365" s="24"/>
      <c r="D365" s="24"/>
      <c r="E365" s="23"/>
      <c r="F365" t="str">
        <f>IF(E365='Tablas AR'!$B$4,1,IF('Análisis de Riesgos'!E365='Tablas AR'!$B$5,2,IF('Análisis de Riesgos'!E365='Tablas AR'!$B$6,3,"")))</f>
        <v/>
      </c>
      <c r="G365" s="23"/>
      <c r="H365" t="str">
        <f>IF(G365='Tablas AR'!$B$10,1,IF('Análisis de Riesgos'!G365='Tablas AR'!$B$11,2,IF('Análisis de Riesgos'!G365='Tablas AR'!$B$12,3,"")))</f>
        <v/>
      </c>
      <c r="I365" t="str">
        <f t="shared" si="5"/>
        <v/>
      </c>
    </row>
    <row r="366" spans="2:9" x14ac:dyDescent="0.25">
      <c r="B366" s="24" t="str">
        <f>IFERROR(INDEX(Activos!$B$3:$C$11, MATCH(C366,Activos!$B$3:$B$11),2),"")</f>
        <v/>
      </c>
      <c r="C366" s="24"/>
      <c r="D366" s="24"/>
      <c r="E366" s="23"/>
      <c r="F366" t="str">
        <f>IF(E366='Tablas AR'!$B$4,1,IF('Análisis de Riesgos'!E366='Tablas AR'!$B$5,2,IF('Análisis de Riesgos'!E366='Tablas AR'!$B$6,3,"")))</f>
        <v/>
      </c>
      <c r="G366" s="23"/>
      <c r="H366" t="str">
        <f>IF(G366='Tablas AR'!$B$10,1,IF('Análisis de Riesgos'!G366='Tablas AR'!$B$11,2,IF('Análisis de Riesgos'!G366='Tablas AR'!$B$12,3,"")))</f>
        <v/>
      </c>
      <c r="I366" t="str">
        <f t="shared" si="5"/>
        <v/>
      </c>
    </row>
    <row r="367" spans="2:9" x14ac:dyDescent="0.25">
      <c r="B367" s="24" t="str">
        <f>IFERROR(INDEX(Activos!$B$3:$C$11, MATCH(C367,Activos!$B$3:$B$11),2),"")</f>
        <v/>
      </c>
      <c r="C367" s="24"/>
      <c r="D367" s="24"/>
      <c r="E367" s="23"/>
      <c r="F367" t="str">
        <f>IF(E367='Tablas AR'!$B$4,1,IF('Análisis de Riesgos'!E367='Tablas AR'!$B$5,2,IF('Análisis de Riesgos'!E367='Tablas AR'!$B$6,3,"")))</f>
        <v/>
      </c>
      <c r="G367" s="23"/>
      <c r="H367" t="str">
        <f>IF(G367='Tablas AR'!$B$10,1,IF('Análisis de Riesgos'!G367='Tablas AR'!$B$11,2,IF('Análisis de Riesgos'!G367='Tablas AR'!$B$12,3,"")))</f>
        <v/>
      </c>
      <c r="I367" t="str">
        <f t="shared" si="5"/>
        <v/>
      </c>
    </row>
    <row r="368" spans="2:9" x14ac:dyDescent="0.25">
      <c r="B368" s="24" t="str">
        <f>IFERROR(INDEX(Activos!$B$3:$C$11, MATCH(C368,Activos!$B$3:$B$11),2),"")</f>
        <v/>
      </c>
      <c r="C368" s="24"/>
      <c r="D368" s="24"/>
      <c r="E368" s="23"/>
      <c r="F368" t="str">
        <f>IF(E368='Tablas AR'!$B$4,1,IF('Análisis de Riesgos'!E368='Tablas AR'!$B$5,2,IF('Análisis de Riesgos'!E368='Tablas AR'!$B$6,3,"")))</f>
        <v/>
      </c>
      <c r="G368" s="23"/>
      <c r="H368" t="str">
        <f>IF(G368='Tablas AR'!$B$10,1,IF('Análisis de Riesgos'!G368='Tablas AR'!$B$11,2,IF('Análisis de Riesgos'!G368='Tablas AR'!$B$12,3,"")))</f>
        <v/>
      </c>
      <c r="I368" t="str">
        <f t="shared" si="5"/>
        <v/>
      </c>
    </row>
    <row r="369" spans="2:9" x14ac:dyDescent="0.25">
      <c r="B369" s="24" t="str">
        <f>IFERROR(INDEX(Activos!$B$3:$C$11, MATCH(C369,Activos!$B$3:$B$11),2),"")</f>
        <v/>
      </c>
      <c r="C369" s="24"/>
      <c r="D369" s="24"/>
      <c r="E369" s="23"/>
      <c r="F369" t="str">
        <f>IF(E369='Tablas AR'!$B$4,1,IF('Análisis de Riesgos'!E369='Tablas AR'!$B$5,2,IF('Análisis de Riesgos'!E369='Tablas AR'!$B$6,3,"")))</f>
        <v/>
      </c>
      <c r="G369" s="23"/>
      <c r="H369" t="str">
        <f>IF(G369='Tablas AR'!$B$10,1,IF('Análisis de Riesgos'!G369='Tablas AR'!$B$11,2,IF('Análisis de Riesgos'!G369='Tablas AR'!$B$12,3,"")))</f>
        <v/>
      </c>
      <c r="I369" t="str">
        <f t="shared" si="5"/>
        <v/>
      </c>
    </row>
    <row r="370" spans="2:9" x14ac:dyDescent="0.25">
      <c r="B370" s="24" t="str">
        <f>IFERROR(INDEX(Activos!$B$3:$C$11, MATCH(C370,Activos!$B$3:$B$11),2),"")</f>
        <v/>
      </c>
      <c r="C370" s="24"/>
      <c r="D370" s="24"/>
      <c r="E370" s="23"/>
      <c r="F370" t="str">
        <f>IF(E370='Tablas AR'!$B$4,1,IF('Análisis de Riesgos'!E370='Tablas AR'!$B$5,2,IF('Análisis de Riesgos'!E370='Tablas AR'!$B$6,3,"")))</f>
        <v/>
      </c>
      <c r="G370" s="23"/>
      <c r="H370" t="str">
        <f>IF(G370='Tablas AR'!$B$10,1,IF('Análisis de Riesgos'!G370='Tablas AR'!$B$11,2,IF('Análisis de Riesgos'!G370='Tablas AR'!$B$12,3,"")))</f>
        <v/>
      </c>
      <c r="I370" t="str">
        <f t="shared" si="5"/>
        <v/>
      </c>
    </row>
    <row r="371" spans="2:9" x14ac:dyDescent="0.25">
      <c r="B371" s="24" t="str">
        <f>IFERROR(INDEX(Activos!$B$3:$C$11, MATCH(C371,Activos!$B$3:$B$11),2),"")</f>
        <v/>
      </c>
      <c r="C371" s="24"/>
      <c r="D371" s="24"/>
      <c r="E371" s="23"/>
      <c r="F371" t="str">
        <f>IF(E371='Tablas AR'!$B$4,1,IF('Análisis de Riesgos'!E371='Tablas AR'!$B$5,2,IF('Análisis de Riesgos'!E371='Tablas AR'!$B$6,3,"")))</f>
        <v/>
      </c>
      <c r="G371" s="23"/>
      <c r="H371" t="str">
        <f>IF(G371='Tablas AR'!$B$10,1,IF('Análisis de Riesgos'!G371='Tablas AR'!$B$11,2,IF('Análisis de Riesgos'!G371='Tablas AR'!$B$12,3,"")))</f>
        <v/>
      </c>
      <c r="I371" t="str">
        <f t="shared" si="5"/>
        <v/>
      </c>
    </row>
    <row r="372" spans="2:9" x14ac:dyDescent="0.25">
      <c r="B372" s="24" t="str">
        <f>IFERROR(INDEX(Activos!$B$3:$C$11, MATCH(C372,Activos!$B$3:$B$11),2),"")</f>
        <v/>
      </c>
      <c r="C372" s="24"/>
      <c r="D372" s="24"/>
      <c r="E372" s="23"/>
      <c r="F372" t="str">
        <f>IF(E372='Tablas AR'!$B$4,1,IF('Análisis de Riesgos'!E372='Tablas AR'!$B$5,2,IF('Análisis de Riesgos'!E372='Tablas AR'!$B$6,3,"")))</f>
        <v/>
      </c>
      <c r="G372" s="23"/>
      <c r="H372" t="str">
        <f>IF(G372='Tablas AR'!$B$10,1,IF('Análisis de Riesgos'!G372='Tablas AR'!$B$11,2,IF('Análisis de Riesgos'!G372='Tablas AR'!$B$12,3,"")))</f>
        <v/>
      </c>
      <c r="I372" t="str">
        <f t="shared" si="5"/>
        <v/>
      </c>
    </row>
    <row r="373" spans="2:9" x14ac:dyDescent="0.25">
      <c r="B373" s="24" t="str">
        <f>IFERROR(INDEX(Activos!$B$3:$C$11, MATCH(C373,Activos!$B$3:$B$11),2),"")</f>
        <v/>
      </c>
      <c r="C373" s="24"/>
      <c r="D373" s="24"/>
      <c r="E373" s="23"/>
      <c r="F373" t="str">
        <f>IF(E373='Tablas AR'!$B$4,1,IF('Análisis de Riesgos'!E373='Tablas AR'!$B$5,2,IF('Análisis de Riesgos'!E373='Tablas AR'!$B$6,3,"")))</f>
        <v/>
      </c>
      <c r="G373" s="23"/>
      <c r="H373" t="str">
        <f>IF(G373='Tablas AR'!$B$10,1,IF('Análisis de Riesgos'!G373='Tablas AR'!$B$11,2,IF('Análisis de Riesgos'!G373='Tablas AR'!$B$12,3,"")))</f>
        <v/>
      </c>
      <c r="I373" t="str">
        <f t="shared" si="5"/>
        <v/>
      </c>
    </row>
    <row r="374" spans="2:9" x14ac:dyDescent="0.25">
      <c r="B374" s="24" t="str">
        <f>IFERROR(INDEX(Activos!$B$3:$C$11, MATCH(C374,Activos!$B$3:$B$11),2),"")</f>
        <v/>
      </c>
      <c r="C374" s="24"/>
      <c r="D374" s="24"/>
      <c r="E374" s="23"/>
      <c r="F374" t="str">
        <f>IF(E374='Tablas AR'!$B$4,1,IF('Análisis de Riesgos'!E374='Tablas AR'!$B$5,2,IF('Análisis de Riesgos'!E374='Tablas AR'!$B$6,3,"")))</f>
        <v/>
      </c>
      <c r="G374" s="23"/>
      <c r="H374" t="str">
        <f>IF(G374='Tablas AR'!$B$10,1,IF('Análisis de Riesgos'!G374='Tablas AR'!$B$11,2,IF('Análisis de Riesgos'!G374='Tablas AR'!$B$12,3,"")))</f>
        <v/>
      </c>
      <c r="I374" t="str">
        <f t="shared" si="5"/>
        <v/>
      </c>
    </row>
    <row r="375" spans="2:9" x14ac:dyDescent="0.25">
      <c r="B375" s="24" t="str">
        <f>IFERROR(INDEX(Activos!$B$3:$C$11, MATCH(C375,Activos!$B$3:$B$11),2),"")</f>
        <v/>
      </c>
      <c r="C375" s="24"/>
      <c r="D375" s="24"/>
      <c r="E375" s="23"/>
      <c r="F375" t="str">
        <f>IF(E375='Tablas AR'!$B$4,1,IF('Análisis de Riesgos'!E375='Tablas AR'!$B$5,2,IF('Análisis de Riesgos'!E375='Tablas AR'!$B$6,3,"")))</f>
        <v/>
      </c>
      <c r="G375" s="23"/>
      <c r="H375" t="str">
        <f>IF(G375='Tablas AR'!$B$10,1,IF('Análisis de Riesgos'!G375='Tablas AR'!$B$11,2,IF('Análisis de Riesgos'!G375='Tablas AR'!$B$12,3,"")))</f>
        <v/>
      </c>
      <c r="I375" t="str">
        <f t="shared" si="5"/>
        <v/>
      </c>
    </row>
    <row r="376" spans="2:9" x14ac:dyDescent="0.25">
      <c r="B376" s="24" t="str">
        <f>IFERROR(INDEX(Activos!$B$3:$C$11, MATCH(C376,Activos!$B$3:$B$11),2),"")</f>
        <v/>
      </c>
      <c r="C376" s="24"/>
      <c r="D376" s="24"/>
      <c r="E376" s="23"/>
      <c r="F376" t="str">
        <f>IF(E376='Tablas AR'!$B$4,1,IF('Análisis de Riesgos'!E376='Tablas AR'!$B$5,2,IF('Análisis de Riesgos'!E376='Tablas AR'!$B$6,3,"")))</f>
        <v/>
      </c>
      <c r="G376" s="23"/>
      <c r="H376" t="str">
        <f>IF(G376='Tablas AR'!$B$10,1,IF('Análisis de Riesgos'!G376='Tablas AR'!$B$11,2,IF('Análisis de Riesgos'!G376='Tablas AR'!$B$12,3,"")))</f>
        <v/>
      </c>
      <c r="I376" t="str">
        <f t="shared" si="5"/>
        <v/>
      </c>
    </row>
    <row r="377" spans="2:9" x14ac:dyDescent="0.25">
      <c r="B377" s="24" t="str">
        <f>IFERROR(INDEX(Activos!$B$3:$C$11, MATCH(C377,Activos!$B$3:$B$11),2),"")</f>
        <v/>
      </c>
      <c r="C377" s="24"/>
      <c r="D377" s="24"/>
      <c r="E377" s="23"/>
      <c r="F377" t="str">
        <f>IF(E377='Tablas AR'!$B$4,1,IF('Análisis de Riesgos'!E377='Tablas AR'!$B$5,2,IF('Análisis de Riesgos'!E377='Tablas AR'!$B$6,3,"")))</f>
        <v/>
      </c>
      <c r="G377" s="23"/>
      <c r="H377" t="str">
        <f>IF(G377='Tablas AR'!$B$10,1,IF('Análisis de Riesgos'!G377='Tablas AR'!$B$11,2,IF('Análisis de Riesgos'!G377='Tablas AR'!$B$12,3,"")))</f>
        <v/>
      </c>
      <c r="I377" t="str">
        <f t="shared" si="5"/>
        <v/>
      </c>
    </row>
    <row r="378" spans="2:9" x14ac:dyDescent="0.25">
      <c r="B378" s="24" t="str">
        <f>IFERROR(INDEX(Activos!$B$3:$C$11, MATCH(C378,Activos!$B$3:$B$11),2),"")</f>
        <v/>
      </c>
      <c r="C378" s="24"/>
      <c r="D378" s="24"/>
      <c r="E378" s="23"/>
      <c r="F378" t="str">
        <f>IF(E378='Tablas AR'!$B$4,1,IF('Análisis de Riesgos'!E378='Tablas AR'!$B$5,2,IF('Análisis de Riesgos'!E378='Tablas AR'!$B$6,3,"")))</f>
        <v/>
      </c>
      <c r="G378" s="23"/>
      <c r="H378" t="str">
        <f>IF(G378='Tablas AR'!$B$10,1,IF('Análisis de Riesgos'!G378='Tablas AR'!$B$11,2,IF('Análisis de Riesgos'!G378='Tablas AR'!$B$12,3,"")))</f>
        <v/>
      </c>
      <c r="I378" t="str">
        <f t="shared" si="5"/>
        <v/>
      </c>
    </row>
    <row r="379" spans="2:9" x14ac:dyDescent="0.25">
      <c r="B379" s="24" t="str">
        <f>IFERROR(INDEX(Activos!$B$3:$C$11, MATCH(C379,Activos!$B$3:$B$11),2),"")</f>
        <v/>
      </c>
      <c r="C379" s="24"/>
      <c r="D379" s="24"/>
      <c r="E379" s="23"/>
      <c r="F379" t="str">
        <f>IF(E379='Tablas AR'!$B$4,1,IF('Análisis de Riesgos'!E379='Tablas AR'!$B$5,2,IF('Análisis de Riesgos'!E379='Tablas AR'!$B$6,3,"")))</f>
        <v/>
      </c>
      <c r="G379" s="23"/>
      <c r="H379" t="str">
        <f>IF(G379='Tablas AR'!$B$10,1,IF('Análisis de Riesgos'!G379='Tablas AR'!$B$11,2,IF('Análisis de Riesgos'!G379='Tablas AR'!$B$12,3,"")))</f>
        <v/>
      </c>
      <c r="I379" t="str">
        <f t="shared" si="5"/>
        <v/>
      </c>
    </row>
    <row r="380" spans="2:9" x14ac:dyDescent="0.25">
      <c r="B380" s="24" t="str">
        <f>IFERROR(INDEX(Activos!$B$3:$C$11, MATCH(C380,Activos!$B$3:$B$11),2),"")</f>
        <v/>
      </c>
      <c r="C380" s="24"/>
      <c r="D380" s="24"/>
      <c r="E380" s="23"/>
      <c r="F380" t="str">
        <f>IF(E380='Tablas AR'!$B$4,1,IF('Análisis de Riesgos'!E380='Tablas AR'!$B$5,2,IF('Análisis de Riesgos'!E380='Tablas AR'!$B$6,3,"")))</f>
        <v/>
      </c>
      <c r="G380" s="23"/>
      <c r="H380" t="str">
        <f>IF(G380='Tablas AR'!$B$10,1,IF('Análisis de Riesgos'!G380='Tablas AR'!$B$11,2,IF('Análisis de Riesgos'!G380='Tablas AR'!$B$12,3,"")))</f>
        <v/>
      </c>
      <c r="I380" t="str">
        <f t="shared" si="5"/>
        <v/>
      </c>
    </row>
    <row r="381" spans="2:9" x14ac:dyDescent="0.25">
      <c r="B381" s="24" t="str">
        <f>IFERROR(INDEX(Activos!$B$3:$C$11, MATCH(C381,Activos!$B$3:$B$11),2),"")</f>
        <v/>
      </c>
      <c r="C381" s="24"/>
      <c r="D381" s="24"/>
      <c r="E381" s="23"/>
      <c r="F381" t="str">
        <f>IF(E381='Tablas AR'!$B$4,1,IF('Análisis de Riesgos'!E381='Tablas AR'!$B$5,2,IF('Análisis de Riesgos'!E381='Tablas AR'!$B$6,3,"")))</f>
        <v/>
      </c>
      <c r="G381" s="23"/>
      <c r="H381" t="str">
        <f>IF(G381='Tablas AR'!$B$10,1,IF('Análisis de Riesgos'!G381='Tablas AR'!$B$11,2,IF('Análisis de Riesgos'!G381='Tablas AR'!$B$12,3,"")))</f>
        <v/>
      </c>
      <c r="I381" t="str">
        <f t="shared" si="5"/>
        <v/>
      </c>
    </row>
    <row r="382" spans="2:9" x14ac:dyDescent="0.25">
      <c r="B382" s="24" t="str">
        <f>IFERROR(INDEX(Activos!$B$3:$C$11, MATCH(C382,Activos!$B$3:$B$11),2),"")</f>
        <v/>
      </c>
      <c r="C382" s="24"/>
      <c r="D382" s="24"/>
      <c r="E382" s="23"/>
      <c r="F382" t="str">
        <f>IF(E382='Tablas AR'!$B$4,1,IF('Análisis de Riesgos'!E382='Tablas AR'!$B$5,2,IF('Análisis de Riesgos'!E382='Tablas AR'!$B$6,3,"")))</f>
        <v/>
      </c>
      <c r="G382" s="23"/>
      <c r="H382" t="str">
        <f>IF(G382='Tablas AR'!$B$10,1,IF('Análisis de Riesgos'!G382='Tablas AR'!$B$11,2,IF('Análisis de Riesgos'!G382='Tablas AR'!$B$12,3,"")))</f>
        <v/>
      </c>
      <c r="I382" t="str">
        <f t="shared" si="5"/>
        <v/>
      </c>
    </row>
    <row r="383" spans="2:9" x14ac:dyDescent="0.25">
      <c r="B383" s="24" t="str">
        <f>IFERROR(INDEX(Activos!$B$3:$C$11, MATCH(C383,Activos!$B$3:$B$11),2),"")</f>
        <v/>
      </c>
      <c r="C383" s="24"/>
      <c r="D383" s="24"/>
      <c r="E383" s="23"/>
      <c r="F383" t="str">
        <f>IF(E383='Tablas AR'!$B$4,1,IF('Análisis de Riesgos'!E383='Tablas AR'!$B$5,2,IF('Análisis de Riesgos'!E383='Tablas AR'!$B$6,3,"")))</f>
        <v/>
      </c>
      <c r="G383" s="23"/>
      <c r="H383" t="str">
        <f>IF(G383='Tablas AR'!$B$10,1,IF('Análisis de Riesgos'!G383='Tablas AR'!$B$11,2,IF('Análisis de Riesgos'!G383='Tablas AR'!$B$12,3,"")))</f>
        <v/>
      </c>
      <c r="I383" t="str">
        <f t="shared" si="5"/>
        <v/>
      </c>
    </row>
    <row r="384" spans="2:9" x14ac:dyDescent="0.25">
      <c r="B384" s="24" t="str">
        <f>IFERROR(INDEX(Activos!$B$3:$C$11, MATCH(C384,Activos!$B$3:$B$11),2),"")</f>
        <v/>
      </c>
      <c r="C384" s="24"/>
      <c r="D384" s="24"/>
      <c r="E384" s="23"/>
      <c r="F384" t="str">
        <f>IF(E384='Tablas AR'!$B$4,1,IF('Análisis de Riesgos'!E384='Tablas AR'!$B$5,2,IF('Análisis de Riesgos'!E384='Tablas AR'!$B$6,3,"")))</f>
        <v/>
      </c>
      <c r="G384" s="23"/>
      <c r="H384" t="str">
        <f>IF(G384='Tablas AR'!$B$10,1,IF('Análisis de Riesgos'!G384='Tablas AR'!$B$11,2,IF('Análisis de Riesgos'!G384='Tablas AR'!$B$12,3,"")))</f>
        <v/>
      </c>
      <c r="I384" t="str">
        <f t="shared" si="5"/>
        <v/>
      </c>
    </row>
    <row r="385" spans="2:9" x14ac:dyDescent="0.25">
      <c r="B385" s="24" t="str">
        <f>IFERROR(INDEX(Activos!$B$3:$C$11, MATCH(C385,Activos!$B$3:$B$11),2),"")</f>
        <v/>
      </c>
      <c r="C385" s="24"/>
      <c r="D385" s="24"/>
      <c r="E385" s="23"/>
      <c r="F385" t="str">
        <f>IF(E385='Tablas AR'!$B$4,1,IF('Análisis de Riesgos'!E385='Tablas AR'!$B$5,2,IF('Análisis de Riesgos'!E385='Tablas AR'!$B$6,3,"")))</f>
        <v/>
      </c>
      <c r="G385" s="23"/>
      <c r="H385" t="str">
        <f>IF(G385='Tablas AR'!$B$10,1,IF('Análisis de Riesgos'!G385='Tablas AR'!$B$11,2,IF('Análisis de Riesgos'!G385='Tablas AR'!$B$12,3,"")))</f>
        <v/>
      </c>
      <c r="I385" t="str">
        <f t="shared" si="5"/>
        <v/>
      </c>
    </row>
    <row r="386" spans="2:9" x14ac:dyDescent="0.25">
      <c r="B386" s="24" t="str">
        <f>IFERROR(INDEX(Activos!$B$3:$C$11, MATCH(C386,Activos!$B$3:$B$11),2),"")</f>
        <v/>
      </c>
      <c r="C386" s="24"/>
      <c r="D386" s="24"/>
      <c r="E386" s="23"/>
      <c r="F386" t="str">
        <f>IF(E386='Tablas AR'!$B$4,1,IF('Análisis de Riesgos'!E386='Tablas AR'!$B$5,2,IF('Análisis de Riesgos'!E386='Tablas AR'!$B$6,3,"")))</f>
        <v/>
      </c>
      <c r="G386" s="23"/>
      <c r="H386" t="str">
        <f>IF(G386='Tablas AR'!$B$10,1,IF('Análisis de Riesgos'!G386='Tablas AR'!$B$11,2,IF('Análisis de Riesgos'!G386='Tablas AR'!$B$12,3,"")))</f>
        <v/>
      </c>
      <c r="I386" t="str">
        <f t="shared" si="5"/>
        <v/>
      </c>
    </row>
    <row r="387" spans="2:9" x14ac:dyDescent="0.25">
      <c r="B387" s="24" t="str">
        <f>IFERROR(INDEX(Activos!$B$3:$C$11, MATCH(C387,Activos!$B$3:$B$11),2),"")</f>
        <v/>
      </c>
      <c r="C387" s="24"/>
      <c r="D387" s="24"/>
      <c r="E387" s="23"/>
      <c r="F387" t="str">
        <f>IF(E387='Tablas AR'!$B$4,1,IF('Análisis de Riesgos'!E387='Tablas AR'!$B$5,2,IF('Análisis de Riesgos'!E387='Tablas AR'!$B$6,3,"")))</f>
        <v/>
      </c>
      <c r="G387" s="23"/>
      <c r="H387" t="str">
        <f>IF(G387='Tablas AR'!$B$10,1,IF('Análisis de Riesgos'!G387='Tablas AR'!$B$11,2,IF('Análisis de Riesgos'!G387='Tablas AR'!$B$12,3,"")))</f>
        <v/>
      </c>
      <c r="I387" t="str">
        <f t="shared" si="5"/>
        <v/>
      </c>
    </row>
    <row r="388" spans="2:9" x14ac:dyDescent="0.25">
      <c r="B388" s="24" t="str">
        <f>IFERROR(INDEX(Activos!$B$3:$C$11, MATCH(C388,Activos!$B$3:$B$11),2),"")</f>
        <v/>
      </c>
      <c r="C388" s="24"/>
      <c r="D388" s="24"/>
      <c r="E388" s="23"/>
      <c r="F388" t="str">
        <f>IF(E388='Tablas AR'!$B$4,1,IF('Análisis de Riesgos'!E388='Tablas AR'!$B$5,2,IF('Análisis de Riesgos'!E388='Tablas AR'!$B$6,3,"")))</f>
        <v/>
      </c>
      <c r="G388" s="23"/>
      <c r="H388" t="str">
        <f>IF(G388='Tablas AR'!$B$10,1,IF('Análisis de Riesgos'!G388='Tablas AR'!$B$11,2,IF('Análisis de Riesgos'!G388='Tablas AR'!$B$12,3,"")))</f>
        <v/>
      </c>
      <c r="I388" t="str">
        <f t="shared" ref="I388:I451" si="6" xml:space="preserve"> IFERROR(F388*H388,"")</f>
        <v/>
      </c>
    </row>
    <row r="389" spans="2:9" x14ac:dyDescent="0.25">
      <c r="B389" s="24" t="str">
        <f>IFERROR(INDEX(Activos!$B$3:$C$11, MATCH(C389,Activos!$B$3:$B$11),2),"")</f>
        <v/>
      </c>
      <c r="C389" s="24"/>
      <c r="D389" s="24"/>
      <c r="E389" s="23"/>
      <c r="F389" t="str">
        <f>IF(E389='Tablas AR'!$B$4,1,IF('Análisis de Riesgos'!E389='Tablas AR'!$B$5,2,IF('Análisis de Riesgos'!E389='Tablas AR'!$B$6,3,"")))</f>
        <v/>
      </c>
      <c r="G389" s="23"/>
      <c r="H389" t="str">
        <f>IF(G389='Tablas AR'!$B$10,1,IF('Análisis de Riesgos'!G389='Tablas AR'!$B$11,2,IF('Análisis de Riesgos'!G389='Tablas AR'!$B$12,3,"")))</f>
        <v/>
      </c>
      <c r="I389" t="str">
        <f t="shared" si="6"/>
        <v/>
      </c>
    </row>
    <row r="390" spans="2:9" x14ac:dyDescent="0.25">
      <c r="B390" s="24" t="str">
        <f>IFERROR(INDEX(Activos!$B$3:$C$11, MATCH(C390,Activos!$B$3:$B$11),2),"")</f>
        <v/>
      </c>
      <c r="C390" s="24"/>
      <c r="D390" s="24"/>
      <c r="E390" s="23"/>
      <c r="F390" t="str">
        <f>IF(E390='Tablas AR'!$B$4,1,IF('Análisis de Riesgos'!E390='Tablas AR'!$B$5,2,IF('Análisis de Riesgos'!E390='Tablas AR'!$B$6,3,"")))</f>
        <v/>
      </c>
      <c r="G390" s="23"/>
      <c r="H390" t="str">
        <f>IF(G390='Tablas AR'!$B$10,1,IF('Análisis de Riesgos'!G390='Tablas AR'!$B$11,2,IF('Análisis de Riesgos'!G390='Tablas AR'!$B$12,3,"")))</f>
        <v/>
      </c>
      <c r="I390" t="str">
        <f t="shared" si="6"/>
        <v/>
      </c>
    </row>
    <row r="391" spans="2:9" x14ac:dyDescent="0.25">
      <c r="B391" s="24" t="str">
        <f>IFERROR(INDEX(Activos!$B$3:$C$11, MATCH(C391,Activos!$B$3:$B$11),2),"")</f>
        <v/>
      </c>
      <c r="C391" s="24"/>
      <c r="D391" s="24"/>
      <c r="E391" s="23"/>
      <c r="F391" t="str">
        <f>IF(E391='Tablas AR'!$B$4,1,IF('Análisis de Riesgos'!E391='Tablas AR'!$B$5,2,IF('Análisis de Riesgos'!E391='Tablas AR'!$B$6,3,"")))</f>
        <v/>
      </c>
      <c r="G391" s="23"/>
      <c r="H391" t="str">
        <f>IF(G391='Tablas AR'!$B$10,1,IF('Análisis de Riesgos'!G391='Tablas AR'!$B$11,2,IF('Análisis de Riesgos'!G391='Tablas AR'!$B$12,3,"")))</f>
        <v/>
      </c>
      <c r="I391" t="str">
        <f t="shared" si="6"/>
        <v/>
      </c>
    </row>
    <row r="392" spans="2:9" x14ac:dyDescent="0.25">
      <c r="B392" s="24" t="str">
        <f>IFERROR(INDEX(Activos!$B$3:$C$11, MATCH(C392,Activos!$B$3:$B$11),2),"")</f>
        <v/>
      </c>
      <c r="C392" s="24"/>
      <c r="D392" s="24"/>
      <c r="E392" s="23"/>
      <c r="F392" t="str">
        <f>IF(E392='Tablas AR'!$B$4,1,IF('Análisis de Riesgos'!E392='Tablas AR'!$B$5,2,IF('Análisis de Riesgos'!E392='Tablas AR'!$B$6,3,"")))</f>
        <v/>
      </c>
      <c r="G392" s="23"/>
      <c r="H392" t="str">
        <f>IF(G392='Tablas AR'!$B$10,1,IF('Análisis de Riesgos'!G392='Tablas AR'!$B$11,2,IF('Análisis de Riesgos'!G392='Tablas AR'!$B$12,3,"")))</f>
        <v/>
      </c>
      <c r="I392" t="str">
        <f t="shared" si="6"/>
        <v/>
      </c>
    </row>
    <row r="393" spans="2:9" x14ac:dyDescent="0.25">
      <c r="B393" s="24" t="str">
        <f>IFERROR(INDEX(Activos!$B$3:$C$11, MATCH(C393,Activos!$B$3:$B$11),2),"")</f>
        <v/>
      </c>
      <c r="C393" s="24"/>
      <c r="D393" s="24"/>
      <c r="E393" s="23"/>
      <c r="F393" t="str">
        <f>IF(E393='Tablas AR'!$B$4,1,IF('Análisis de Riesgos'!E393='Tablas AR'!$B$5,2,IF('Análisis de Riesgos'!E393='Tablas AR'!$B$6,3,"")))</f>
        <v/>
      </c>
      <c r="G393" s="23"/>
      <c r="H393" t="str">
        <f>IF(G393='Tablas AR'!$B$10,1,IF('Análisis de Riesgos'!G393='Tablas AR'!$B$11,2,IF('Análisis de Riesgos'!G393='Tablas AR'!$B$12,3,"")))</f>
        <v/>
      </c>
      <c r="I393" t="str">
        <f t="shared" si="6"/>
        <v/>
      </c>
    </row>
    <row r="394" spans="2:9" x14ac:dyDescent="0.25">
      <c r="B394" s="24" t="str">
        <f>IFERROR(INDEX(Activos!$B$3:$C$11, MATCH(C394,Activos!$B$3:$B$11),2),"")</f>
        <v/>
      </c>
      <c r="C394" s="24"/>
      <c r="D394" s="24"/>
      <c r="E394" s="23"/>
      <c r="F394" t="str">
        <f>IF(E394='Tablas AR'!$B$4,1,IF('Análisis de Riesgos'!E394='Tablas AR'!$B$5,2,IF('Análisis de Riesgos'!E394='Tablas AR'!$B$6,3,"")))</f>
        <v/>
      </c>
      <c r="G394" s="23"/>
      <c r="H394" t="str">
        <f>IF(G394='Tablas AR'!$B$10,1,IF('Análisis de Riesgos'!G394='Tablas AR'!$B$11,2,IF('Análisis de Riesgos'!G394='Tablas AR'!$B$12,3,"")))</f>
        <v/>
      </c>
      <c r="I394" t="str">
        <f t="shared" si="6"/>
        <v/>
      </c>
    </row>
    <row r="395" spans="2:9" x14ac:dyDescent="0.25">
      <c r="B395" s="24" t="str">
        <f>IFERROR(INDEX(Activos!$B$3:$C$11, MATCH(C395,Activos!$B$3:$B$11),2),"")</f>
        <v/>
      </c>
      <c r="C395" s="24"/>
      <c r="D395" s="24"/>
      <c r="E395" s="23"/>
      <c r="F395" t="str">
        <f>IF(E395='Tablas AR'!$B$4,1,IF('Análisis de Riesgos'!E395='Tablas AR'!$B$5,2,IF('Análisis de Riesgos'!E395='Tablas AR'!$B$6,3,"")))</f>
        <v/>
      </c>
      <c r="G395" s="23"/>
      <c r="H395" t="str">
        <f>IF(G395='Tablas AR'!$B$10,1,IF('Análisis de Riesgos'!G395='Tablas AR'!$B$11,2,IF('Análisis de Riesgos'!G395='Tablas AR'!$B$12,3,"")))</f>
        <v/>
      </c>
      <c r="I395" t="str">
        <f t="shared" si="6"/>
        <v/>
      </c>
    </row>
    <row r="396" spans="2:9" x14ac:dyDescent="0.25">
      <c r="B396" s="24" t="str">
        <f>IFERROR(INDEX(Activos!$B$3:$C$11, MATCH(C396,Activos!$B$3:$B$11),2),"")</f>
        <v/>
      </c>
      <c r="C396" s="24"/>
      <c r="D396" s="24"/>
      <c r="E396" s="23"/>
      <c r="F396" t="str">
        <f>IF(E396='Tablas AR'!$B$4,1,IF('Análisis de Riesgos'!E396='Tablas AR'!$B$5,2,IF('Análisis de Riesgos'!E396='Tablas AR'!$B$6,3,"")))</f>
        <v/>
      </c>
      <c r="G396" s="23"/>
      <c r="H396" t="str">
        <f>IF(G396='Tablas AR'!$B$10,1,IF('Análisis de Riesgos'!G396='Tablas AR'!$B$11,2,IF('Análisis de Riesgos'!G396='Tablas AR'!$B$12,3,"")))</f>
        <v/>
      </c>
      <c r="I396" t="str">
        <f t="shared" si="6"/>
        <v/>
      </c>
    </row>
    <row r="397" spans="2:9" x14ac:dyDescent="0.25">
      <c r="B397" s="24" t="str">
        <f>IFERROR(INDEX(Activos!$B$3:$C$11, MATCH(C397,Activos!$B$3:$B$11),2),"")</f>
        <v/>
      </c>
      <c r="C397" s="24"/>
      <c r="D397" s="24"/>
      <c r="E397" s="23"/>
      <c r="F397" t="str">
        <f>IF(E397='Tablas AR'!$B$4,1,IF('Análisis de Riesgos'!E397='Tablas AR'!$B$5,2,IF('Análisis de Riesgos'!E397='Tablas AR'!$B$6,3,"")))</f>
        <v/>
      </c>
      <c r="G397" s="23"/>
      <c r="H397" t="str">
        <f>IF(G397='Tablas AR'!$B$10,1,IF('Análisis de Riesgos'!G397='Tablas AR'!$B$11,2,IF('Análisis de Riesgos'!G397='Tablas AR'!$B$12,3,"")))</f>
        <v/>
      </c>
      <c r="I397" t="str">
        <f t="shared" si="6"/>
        <v/>
      </c>
    </row>
    <row r="398" spans="2:9" x14ac:dyDescent="0.25">
      <c r="B398" s="24" t="str">
        <f>IFERROR(INDEX(Activos!$B$3:$C$11, MATCH(C398,Activos!$B$3:$B$11),2),"")</f>
        <v/>
      </c>
      <c r="C398" s="24"/>
      <c r="D398" s="24"/>
      <c r="E398" s="23"/>
      <c r="F398" t="str">
        <f>IF(E398='Tablas AR'!$B$4,1,IF('Análisis de Riesgos'!E398='Tablas AR'!$B$5,2,IF('Análisis de Riesgos'!E398='Tablas AR'!$B$6,3,"")))</f>
        <v/>
      </c>
      <c r="G398" s="23"/>
      <c r="H398" t="str">
        <f>IF(G398='Tablas AR'!$B$10,1,IF('Análisis de Riesgos'!G398='Tablas AR'!$B$11,2,IF('Análisis de Riesgos'!G398='Tablas AR'!$B$12,3,"")))</f>
        <v/>
      </c>
      <c r="I398" t="str">
        <f t="shared" si="6"/>
        <v/>
      </c>
    </row>
    <row r="399" spans="2:9" x14ac:dyDescent="0.25">
      <c r="B399" s="24" t="str">
        <f>IFERROR(INDEX(Activos!$B$3:$C$11, MATCH(C399,Activos!$B$3:$B$11),2),"")</f>
        <v/>
      </c>
      <c r="C399" s="24"/>
      <c r="D399" s="24"/>
      <c r="E399" s="23"/>
      <c r="F399" t="str">
        <f>IF(E399='Tablas AR'!$B$4,1,IF('Análisis de Riesgos'!E399='Tablas AR'!$B$5,2,IF('Análisis de Riesgos'!E399='Tablas AR'!$B$6,3,"")))</f>
        <v/>
      </c>
      <c r="G399" s="23"/>
      <c r="H399" t="str">
        <f>IF(G399='Tablas AR'!$B$10,1,IF('Análisis de Riesgos'!G399='Tablas AR'!$B$11,2,IF('Análisis de Riesgos'!G399='Tablas AR'!$B$12,3,"")))</f>
        <v/>
      </c>
      <c r="I399" t="str">
        <f t="shared" si="6"/>
        <v/>
      </c>
    </row>
    <row r="400" spans="2:9" x14ac:dyDescent="0.25">
      <c r="B400" s="24" t="str">
        <f>IFERROR(INDEX(Activos!$B$3:$C$11, MATCH(C400,Activos!$B$3:$B$11),2),"")</f>
        <v/>
      </c>
      <c r="C400" s="24"/>
      <c r="D400" s="24"/>
      <c r="E400" s="23"/>
      <c r="F400" t="str">
        <f>IF(E400='Tablas AR'!$B$4,1,IF('Análisis de Riesgos'!E400='Tablas AR'!$B$5,2,IF('Análisis de Riesgos'!E400='Tablas AR'!$B$6,3,"")))</f>
        <v/>
      </c>
      <c r="G400" s="23"/>
      <c r="H400" t="str">
        <f>IF(G400='Tablas AR'!$B$10,1,IF('Análisis de Riesgos'!G400='Tablas AR'!$B$11,2,IF('Análisis de Riesgos'!G400='Tablas AR'!$B$12,3,"")))</f>
        <v/>
      </c>
      <c r="I400" t="str">
        <f t="shared" si="6"/>
        <v/>
      </c>
    </row>
    <row r="401" spans="2:9" x14ac:dyDescent="0.25">
      <c r="B401" s="24" t="str">
        <f>IFERROR(INDEX(Activos!$B$3:$C$11, MATCH(C401,Activos!$B$3:$B$11),2),"")</f>
        <v/>
      </c>
      <c r="C401" s="24"/>
      <c r="D401" s="24"/>
      <c r="E401" s="23"/>
      <c r="F401" t="str">
        <f>IF(E401='Tablas AR'!$B$4,1,IF('Análisis de Riesgos'!E401='Tablas AR'!$B$5,2,IF('Análisis de Riesgos'!E401='Tablas AR'!$B$6,3,"")))</f>
        <v/>
      </c>
      <c r="G401" s="23"/>
      <c r="H401" t="str">
        <f>IF(G401='Tablas AR'!$B$10,1,IF('Análisis de Riesgos'!G401='Tablas AR'!$B$11,2,IF('Análisis de Riesgos'!G401='Tablas AR'!$B$12,3,"")))</f>
        <v/>
      </c>
      <c r="I401" t="str">
        <f t="shared" si="6"/>
        <v/>
      </c>
    </row>
    <row r="402" spans="2:9" x14ac:dyDescent="0.25">
      <c r="B402" s="24" t="str">
        <f>IFERROR(INDEX(Activos!$B$3:$C$11, MATCH(C402,Activos!$B$3:$B$11),2),"")</f>
        <v/>
      </c>
      <c r="C402" s="24"/>
      <c r="D402" s="24"/>
      <c r="E402" s="23"/>
      <c r="F402" t="str">
        <f>IF(E402='Tablas AR'!$B$4,1,IF('Análisis de Riesgos'!E402='Tablas AR'!$B$5,2,IF('Análisis de Riesgos'!E402='Tablas AR'!$B$6,3,"")))</f>
        <v/>
      </c>
      <c r="G402" s="23"/>
      <c r="H402" t="str">
        <f>IF(G402='Tablas AR'!$B$10,1,IF('Análisis de Riesgos'!G402='Tablas AR'!$B$11,2,IF('Análisis de Riesgos'!G402='Tablas AR'!$B$12,3,"")))</f>
        <v/>
      </c>
      <c r="I402" t="str">
        <f t="shared" si="6"/>
        <v/>
      </c>
    </row>
    <row r="403" spans="2:9" x14ac:dyDescent="0.25">
      <c r="B403" s="24" t="str">
        <f>IFERROR(INDEX(Activos!$B$3:$C$11, MATCH(C403,Activos!$B$3:$B$11),2),"")</f>
        <v/>
      </c>
      <c r="C403" s="24"/>
      <c r="D403" s="24"/>
      <c r="E403" s="23"/>
      <c r="F403" t="str">
        <f>IF(E403='Tablas AR'!$B$4,1,IF('Análisis de Riesgos'!E403='Tablas AR'!$B$5,2,IF('Análisis de Riesgos'!E403='Tablas AR'!$B$6,3,"")))</f>
        <v/>
      </c>
      <c r="G403" s="23"/>
      <c r="H403" t="str">
        <f>IF(G403='Tablas AR'!$B$10,1,IF('Análisis de Riesgos'!G403='Tablas AR'!$B$11,2,IF('Análisis de Riesgos'!G403='Tablas AR'!$B$12,3,"")))</f>
        <v/>
      </c>
      <c r="I403" t="str">
        <f t="shared" si="6"/>
        <v/>
      </c>
    </row>
    <row r="404" spans="2:9" x14ac:dyDescent="0.25">
      <c r="B404" s="24" t="str">
        <f>IFERROR(INDEX(Activos!$B$3:$C$11, MATCH(C404,Activos!$B$3:$B$11),2),"")</f>
        <v/>
      </c>
      <c r="C404" s="24"/>
      <c r="D404" s="24"/>
      <c r="E404" s="23"/>
      <c r="F404" t="str">
        <f>IF(E404='Tablas AR'!$B$4,1,IF('Análisis de Riesgos'!E404='Tablas AR'!$B$5,2,IF('Análisis de Riesgos'!E404='Tablas AR'!$B$6,3,"")))</f>
        <v/>
      </c>
      <c r="G404" s="23"/>
      <c r="H404" t="str">
        <f>IF(G404='Tablas AR'!$B$10,1,IF('Análisis de Riesgos'!G404='Tablas AR'!$B$11,2,IF('Análisis de Riesgos'!G404='Tablas AR'!$B$12,3,"")))</f>
        <v/>
      </c>
      <c r="I404" t="str">
        <f t="shared" si="6"/>
        <v/>
      </c>
    </row>
    <row r="405" spans="2:9" x14ac:dyDescent="0.25">
      <c r="B405" s="24" t="str">
        <f>IFERROR(INDEX(Activos!$B$3:$C$11, MATCH(C405,Activos!$B$3:$B$11),2),"")</f>
        <v/>
      </c>
      <c r="C405" s="24"/>
      <c r="D405" s="24"/>
      <c r="E405" s="23"/>
      <c r="F405" t="str">
        <f>IF(E405='Tablas AR'!$B$4,1,IF('Análisis de Riesgos'!E405='Tablas AR'!$B$5,2,IF('Análisis de Riesgos'!E405='Tablas AR'!$B$6,3,"")))</f>
        <v/>
      </c>
      <c r="G405" s="23"/>
      <c r="H405" t="str">
        <f>IF(G405='Tablas AR'!$B$10,1,IF('Análisis de Riesgos'!G405='Tablas AR'!$B$11,2,IF('Análisis de Riesgos'!G405='Tablas AR'!$B$12,3,"")))</f>
        <v/>
      </c>
      <c r="I405" t="str">
        <f t="shared" si="6"/>
        <v/>
      </c>
    </row>
    <row r="406" spans="2:9" x14ac:dyDescent="0.25">
      <c r="B406" s="24" t="str">
        <f>IFERROR(INDEX(Activos!$B$3:$C$11, MATCH(C406,Activos!$B$3:$B$11),2),"")</f>
        <v/>
      </c>
      <c r="C406" s="24"/>
      <c r="D406" s="24"/>
      <c r="E406" s="23"/>
      <c r="F406" t="str">
        <f>IF(E406='Tablas AR'!$B$4,1,IF('Análisis de Riesgos'!E406='Tablas AR'!$B$5,2,IF('Análisis de Riesgos'!E406='Tablas AR'!$B$6,3,"")))</f>
        <v/>
      </c>
      <c r="G406" s="23"/>
      <c r="H406" t="str">
        <f>IF(G406='Tablas AR'!$B$10,1,IF('Análisis de Riesgos'!G406='Tablas AR'!$B$11,2,IF('Análisis de Riesgos'!G406='Tablas AR'!$B$12,3,"")))</f>
        <v/>
      </c>
      <c r="I406" t="str">
        <f t="shared" si="6"/>
        <v/>
      </c>
    </row>
    <row r="407" spans="2:9" x14ac:dyDescent="0.25">
      <c r="B407" s="24" t="str">
        <f>IFERROR(INDEX(Activos!$B$3:$C$11, MATCH(C407,Activos!$B$3:$B$11),2),"")</f>
        <v/>
      </c>
      <c r="C407" s="24"/>
      <c r="D407" s="24"/>
      <c r="E407" s="23"/>
      <c r="F407" t="str">
        <f>IF(E407='Tablas AR'!$B$4,1,IF('Análisis de Riesgos'!E407='Tablas AR'!$B$5,2,IF('Análisis de Riesgos'!E407='Tablas AR'!$B$6,3,"")))</f>
        <v/>
      </c>
      <c r="G407" s="23"/>
      <c r="H407" t="str">
        <f>IF(G407='Tablas AR'!$B$10,1,IF('Análisis de Riesgos'!G407='Tablas AR'!$B$11,2,IF('Análisis de Riesgos'!G407='Tablas AR'!$B$12,3,"")))</f>
        <v/>
      </c>
      <c r="I407" t="str">
        <f t="shared" si="6"/>
        <v/>
      </c>
    </row>
    <row r="408" spans="2:9" x14ac:dyDescent="0.25">
      <c r="B408" s="24" t="str">
        <f>IFERROR(INDEX(Activos!$B$3:$C$11, MATCH(C408,Activos!$B$3:$B$11),2),"")</f>
        <v/>
      </c>
      <c r="C408" s="24"/>
      <c r="D408" s="24"/>
      <c r="E408" s="23"/>
      <c r="F408" t="str">
        <f>IF(E408='Tablas AR'!$B$4,1,IF('Análisis de Riesgos'!E408='Tablas AR'!$B$5,2,IF('Análisis de Riesgos'!E408='Tablas AR'!$B$6,3,"")))</f>
        <v/>
      </c>
      <c r="G408" s="23"/>
      <c r="H408" t="str">
        <f>IF(G408='Tablas AR'!$B$10,1,IF('Análisis de Riesgos'!G408='Tablas AR'!$B$11,2,IF('Análisis de Riesgos'!G408='Tablas AR'!$B$12,3,"")))</f>
        <v/>
      </c>
      <c r="I408" t="str">
        <f t="shared" si="6"/>
        <v/>
      </c>
    </row>
    <row r="409" spans="2:9" x14ac:dyDescent="0.25">
      <c r="B409" s="24" t="str">
        <f>IFERROR(INDEX(Activos!$B$3:$C$11, MATCH(C409,Activos!$B$3:$B$11),2),"")</f>
        <v/>
      </c>
      <c r="C409" s="24"/>
      <c r="D409" s="24"/>
      <c r="E409" s="23"/>
      <c r="F409" t="str">
        <f>IF(E409='Tablas AR'!$B$4,1,IF('Análisis de Riesgos'!E409='Tablas AR'!$B$5,2,IF('Análisis de Riesgos'!E409='Tablas AR'!$B$6,3,"")))</f>
        <v/>
      </c>
      <c r="G409" s="23"/>
      <c r="H409" t="str">
        <f>IF(G409='Tablas AR'!$B$10,1,IF('Análisis de Riesgos'!G409='Tablas AR'!$B$11,2,IF('Análisis de Riesgos'!G409='Tablas AR'!$B$12,3,"")))</f>
        <v/>
      </c>
      <c r="I409" t="str">
        <f t="shared" si="6"/>
        <v/>
      </c>
    </row>
    <row r="410" spans="2:9" x14ac:dyDescent="0.25">
      <c r="B410" s="24" t="str">
        <f>IFERROR(INDEX(Activos!$B$3:$C$11, MATCH(C410,Activos!$B$3:$B$11),2),"")</f>
        <v/>
      </c>
      <c r="C410" s="24"/>
      <c r="D410" s="24"/>
      <c r="E410" s="23"/>
      <c r="F410" t="str">
        <f>IF(E410='Tablas AR'!$B$4,1,IF('Análisis de Riesgos'!E410='Tablas AR'!$B$5,2,IF('Análisis de Riesgos'!E410='Tablas AR'!$B$6,3,"")))</f>
        <v/>
      </c>
      <c r="G410" s="23"/>
      <c r="H410" t="str">
        <f>IF(G410='Tablas AR'!$B$10,1,IF('Análisis de Riesgos'!G410='Tablas AR'!$B$11,2,IF('Análisis de Riesgos'!G410='Tablas AR'!$B$12,3,"")))</f>
        <v/>
      </c>
      <c r="I410" t="str">
        <f t="shared" si="6"/>
        <v/>
      </c>
    </row>
    <row r="411" spans="2:9" x14ac:dyDescent="0.25">
      <c r="B411" s="24" t="str">
        <f>IFERROR(INDEX(Activos!$B$3:$C$11, MATCH(C411,Activos!$B$3:$B$11),2),"")</f>
        <v/>
      </c>
      <c r="C411" s="24"/>
      <c r="D411" s="24"/>
      <c r="E411" s="23"/>
      <c r="F411" t="str">
        <f>IF(E411='Tablas AR'!$B$4,1,IF('Análisis de Riesgos'!E411='Tablas AR'!$B$5,2,IF('Análisis de Riesgos'!E411='Tablas AR'!$B$6,3,"")))</f>
        <v/>
      </c>
      <c r="G411" s="23"/>
      <c r="H411" t="str">
        <f>IF(G411='Tablas AR'!$B$10,1,IF('Análisis de Riesgos'!G411='Tablas AR'!$B$11,2,IF('Análisis de Riesgos'!G411='Tablas AR'!$B$12,3,"")))</f>
        <v/>
      </c>
      <c r="I411" t="str">
        <f t="shared" si="6"/>
        <v/>
      </c>
    </row>
    <row r="412" spans="2:9" x14ac:dyDescent="0.25">
      <c r="B412" s="24" t="str">
        <f>IFERROR(INDEX(Activos!$B$3:$C$11, MATCH(C412,Activos!$B$3:$B$11),2),"")</f>
        <v/>
      </c>
      <c r="C412" s="24"/>
      <c r="D412" s="24"/>
      <c r="E412" s="23"/>
      <c r="F412" t="str">
        <f>IF(E412='Tablas AR'!$B$4,1,IF('Análisis de Riesgos'!E412='Tablas AR'!$B$5,2,IF('Análisis de Riesgos'!E412='Tablas AR'!$B$6,3,"")))</f>
        <v/>
      </c>
      <c r="G412" s="23"/>
      <c r="H412" t="str">
        <f>IF(G412='Tablas AR'!$B$10,1,IF('Análisis de Riesgos'!G412='Tablas AR'!$B$11,2,IF('Análisis de Riesgos'!G412='Tablas AR'!$B$12,3,"")))</f>
        <v/>
      </c>
      <c r="I412" t="str">
        <f t="shared" si="6"/>
        <v/>
      </c>
    </row>
    <row r="413" spans="2:9" x14ac:dyDescent="0.25">
      <c r="B413" s="24" t="str">
        <f>IFERROR(INDEX(Activos!$B$3:$C$11, MATCH(C413,Activos!$B$3:$B$11),2),"")</f>
        <v/>
      </c>
      <c r="C413" s="24"/>
      <c r="D413" s="24"/>
      <c r="E413" s="23"/>
      <c r="F413" t="str">
        <f>IF(E413='Tablas AR'!$B$4,1,IF('Análisis de Riesgos'!E413='Tablas AR'!$B$5,2,IF('Análisis de Riesgos'!E413='Tablas AR'!$B$6,3,"")))</f>
        <v/>
      </c>
      <c r="G413" s="23"/>
      <c r="H413" t="str">
        <f>IF(G413='Tablas AR'!$B$10,1,IF('Análisis de Riesgos'!G413='Tablas AR'!$B$11,2,IF('Análisis de Riesgos'!G413='Tablas AR'!$B$12,3,"")))</f>
        <v/>
      </c>
      <c r="I413" t="str">
        <f t="shared" si="6"/>
        <v/>
      </c>
    </row>
    <row r="414" spans="2:9" x14ac:dyDescent="0.25">
      <c r="B414" s="24" t="str">
        <f>IFERROR(INDEX(Activos!$B$3:$C$11, MATCH(C414,Activos!$B$3:$B$11),2),"")</f>
        <v/>
      </c>
      <c r="C414" s="24"/>
      <c r="D414" s="24"/>
      <c r="E414" s="23"/>
      <c r="F414" t="str">
        <f>IF(E414='Tablas AR'!$B$4,1,IF('Análisis de Riesgos'!E414='Tablas AR'!$B$5,2,IF('Análisis de Riesgos'!E414='Tablas AR'!$B$6,3,"")))</f>
        <v/>
      </c>
      <c r="G414" s="23"/>
      <c r="H414" t="str">
        <f>IF(G414='Tablas AR'!$B$10,1,IF('Análisis de Riesgos'!G414='Tablas AR'!$B$11,2,IF('Análisis de Riesgos'!G414='Tablas AR'!$B$12,3,"")))</f>
        <v/>
      </c>
      <c r="I414" t="str">
        <f t="shared" si="6"/>
        <v/>
      </c>
    </row>
    <row r="415" spans="2:9" x14ac:dyDescent="0.25">
      <c r="B415" s="24" t="str">
        <f>IFERROR(INDEX(Activos!$B$3:$C$11, MATCH(C415,Activos!$B$3:$B$11),2),"")</f>
        <v/>
      </c>
      <c r="C415" s="24"/>
      <c r="D415" s="24"/>
      <c r="E415" s="23"/>
      <c r="F415" t="str">
        <f>IF(E415='Tablas AR'!$B$4,1,IF('Análisis de Riesgos'!E415='Tablas AR'!$B$5,2,IF('Análisis de Riesgos'!E415='Tablas AR'!$B$6,3,"")))</f>
        <v/>
      </c>
      <c r="G415" s="23"/>
      <c r="H415" t="str">
        <f>IF(G415='Tablas AR'!$B$10,1,IF('Análisis de Riesgos'!G415='Tablas AR'!$B$11,2,IF('Análisis de Riesgos'!G415='Tablas AR'!$B$12,3,"")))</f>
        <v/>
      </c>
      <c r="I415" t="str">
        <f t="shared" si="6"/>
        <v/>
      </c>
    </row>
    <row r="416" spans="2:9" x14ac:dyDescent="0.25">
      <c r="B416" s="24" t="str">
        <f>IFERROR(INDEX(Activos!$B$3:$C$11, MATCH(C416,Activos!$B$3:$B$11),2),"")</f>
        <v/>
      </c>
      <c r="C416" s="24"/>
      <c r="D416" s="24"/>
      <c r="E416" s="23"/>
      <c r="F416" t="str">
        <f>IF(E416='Tablas AR'!$B$4,1,IF('Análisis de Riesgos'!E416='Tablas AR'!$B$5,2,IF('Análisis de Riesgos'!E416='Tablas AR'!$B$6,3,"")))</f>
        <v/>
      </c>
      <c r="G416" s="23"/>
      <c r="H416" t="str">
        <f>IF(G416='Tablas AR'!$B$10,1,IF('Análisis de Riesgos'!G416='Tablas AR'!$B$11,2,IF('Análisis de Riesgos'!G416='Tablas AR'!$B$12,3,"")))</f>
        <v/>
      </c>
      <c r="I416" t="str">
        <f t="shared" si="6"/>
        <v/>
      </c>
    </row>
    <row r="417" spans="2:9" x14ac:dyDescent="0.25">
      <c r="B417" s="24" t="str">
        <f>IFERROR(INDEX(Activos!$B$3:$C$11, MATCH(C417,Activos!$B$3:$B$11),2),"")</f>
        <v/>
      </c>
      <c r="C417" s="24"/>
      <c r="D417" s="24"/>
      <c r="E417" s="23"/>
      <c r="F417" t="str">
        <f>IF(E417='Tablas AR'!$B$4,1,IF('Análisis de Riesgos'!E417='Tablas AR'!$B$5,2,IF('Análisis de Riesgos'!E417='Tablas AR'!$B$6,3,"")))</f>
        <v/>
      </c>
      <c r="G417" s="23"/>
      <c r="H417" t="str">
        <f>IF(G417='Tablas AR'!$B$10,1,IF('Análisis de Riesgos'!G417='Tablas AR'!$B$11,2,IF('Análisis de Riesgos'!G417='Tablas AR'!$B$12,3,"")))</f>
        <v/>
      </c>
      <c r="I417" t="str">
        <f t="shared" si="6"/>
        <v/>
      </c>
    </row>
    <row r="418" spans="2:9" x14ac:dyDescent="0.25">
      <c r="B418" s="24" t="str">
        <f>IFERROR(INDEX(Activos!$B$3:$C$11, MATCH(C418,Activos!$B$3:$B$11),2),"")</f>
        <v/>
      </c>
      <c r="C418" s="24"/>
      <c r="D418" s="24"/>
      <c r="E418" s="23"/>
      <c r="F418" t="str">
        <f>IF(E418='Tablas AR'!$B$4,1,IF('Análisis de Riesgos'!E418='Tablas AR'!$B$5,2,IF('Análisis de Riesgos'!E418='Tablas AR'!$B$6,3,"")))</f>
        <v/>
      </c>
      <c r="G418" s="23"/>
      <c r="H418" t="str">
        <f>IF(G418='Tablas AR'!$B$10,1,IF('Análisis de Riesgos'!G418='Tablas AR'!$B$11,2,IF('Análisis de Riesgos'!G418='Tablas AR'!$B$12,3,"")))</f>
        <v/>
      </c>
      <c r="I418" t="str">
        <f t="shared" si="6"/>
        <v/>
      </c>
    </row>
    <row r="419" spans="2:9" x14ac:dyDescent="0.25">
      <c r="B419" s="24" t="str">
        <f>IFERROR(INDEX(Activos!$B$3:$C$11, MATCH(C419,Activos!$B$3:$B$11),2),"")</f>
        <v/>
      </c>
      <c r="C419" s="24"/>
      <c r="D419" s="24"/>
      <c r="E419" s="23"/>
      <c r="F419" t="str">
        <f>IF(E419='Tablas AR'!$B$4,1,IF('Análisis de Riesgos'!E419='Tablas AR'!$B$5,2,IF('Análisis de Riesgos'!E419='Tablas AR'!$B$6,3,"")))</f>
        <v/>
      </c>
      <c r="G419" s="23"/>
      <c r="H419" t="str">
        <f>IF(G419='Tablas AR'!$B$10,1,IF('Análisis de Riesgos'!G419='Tablas AR'!$B$11,2,IF('Análisis de Riesgos'!G419='Tablas AR'!$B$12,3,"")))</f>
        <v/>
      </c>
      <c r="I419" t="str">
        <f t="shared" si="6"/>
        <v/>
      </c>
    </row>
    <row r="420" spans="2:9" x14ac:dyDescent="0.25">
      <c r="B420" s="24" t="str">
        <f>IFERROR(INDEX(Activos!$B$3:$C$11, MATCH(C420,Activos!$B$3:$B$11),2),"")</f>
        <v/>
      </c>
      <c r="C420" s="24"/>
      <c r="D420" s="24"/>
      <c r="E420" s="23"/>
      <c r="F420" t="str">
        <f>IF(E420='Tablas AR'!$B$4,1,IF('Análisis de Riesgos'!E420='Tablas AR'!$B$5,2,IF('Análisis de Riesgos'!E420='Tablas AR'!$B$6,3,"")))</f>
        <v/>
      </c>
      <c r="G420" s="23"/>
      <c r="H420" t="str">
        <f>IF(G420='Tablas AR'!$B$10,1,IF('Análisis de Riesgos'!G420='Tablas AR'!$B$11,2,IF('Análisis de Riesgos'!G420='Tablas AR'!$B$12,3,"")))</f>
        <v/>
      </c>
      <c r="I420" t="str">
        <f t="shared" si="6"/>
        <v/>
      </c>
    </row>
    <row r="421" spans="2:9" x14ac:dyDescent="0.25">
      <c r="B421" s="24" t="str">
        <f>IFERROR(INDEX(Activos!$B$3:$C$11, MATCH(C421,Activos!$B$3:$B$11),2),"")</f>
        <v/>
      </c>
      <c r="C421" s="24"/>
      <c r="D421" s="24"/>
      <c r="E421" s="23"/>
      <c r="F421" t="str">
        <f>IF(E421='Tablas AR'!$B$4,1,IF('Análisis de Riesgos'!E421='Tablas AR'!$B$5,2,IF('Análisis de Riesgos'!E421='Tablas AR'!$B$6,3,"")))</f>
        <v/>
      </c>
      <c r="G421" s="23"/>
      <c r="H421" t="str">
        <f>IF(G421='Tablas AR'!$B$10,1,IF('Análisis de Riesgos'!G421='Tablas AR'!$B$11,2,IF('Análisis de Riesgos'!G421='Tablas AR'!$B$12,3,"")))</f>
        <v/>
      </c>
      <c r="I421" t="str">
        <f t="shared" si="6"/>
        <v/>
      </c>
    </row>
    <row r="422" spans="2:9" x14ac:dyDescent="0.25">
      <c r="B422" s="24" t="str">
        <f>IFERROR(INDEX(Activos!$B$3:$C$11, MATCH(C422,Activos!$B$3:$B$11),2),"")</f>
        <v/>
      </c>
      <c r="C422" s="24"/>
      <c r="D422" s="24"/>
      <c r="E422" s="23"/>
      <c r="F422" t="str">
        <f>IF(E422='Tablas AR'!$B$4,1,IF('Análisis de Riesgos'!E422='Tablas AR'!$B$5,2,IF('Análisis de Riesgos'!E422='Tablas AR'!$B$6,3,"")))</f>
        <v/>
      </c>
      <c r="G422" s="23"/>
      <c r="H422" t="str">
        <f>IF(G422='Tablas AR'!$B$10,1,IF('Análisis de Riesgos'!G422='Tablas AR'!$B$11,2,IF('Análisis de Riesgos'!G422='Tablas AR'!$B$12,3,"")))</f>
        <v/>
      </c>
      <c r="I422" t="str">
        <f t="shared" si="6"/>
        <v/>
      </c>
    </row>
    <row r="423" spans="2:9" x14ac:dyDescent="0.25">
      <c r="B423" s="24" t="str">
        <f>IFERROR(INDEX(Activos!$B$3:$C$11, MATCH(C423,Activos!$B$3:$B$11),2),"")</f>
        <v/>
      </c>
      <c r="C423" s="24"/>
      <c r="D423" s="24"/>
      <c r="E423" s="23"/>
      <c r="F423" t="str">
        <f>IF(E423='Tablas AR'!$B$4,1,IF('Análisis de Riesgos'!E423='Tablas AR'!$B$5,2,IF('Análisis de Riesgos'!E423='Tablas AR'!$B$6,3,"")))</f>
        <v/>
      </c>
      <c r="G423" s="23"/>
      <c r="H423" t="str">
        <f>IF(G423='Tablas AR'!$B$10,1,IF('Análisis de Riesgos'!G423='Tablas AR'!$B$11,2,IF('Análisis de Riesgos'!G423='Tablas AR'!$B$12,3,"")))</f>
        <v/>
      </c>
      <c r="I423" t="str">
        <f t="shared" si="6"/>
        <v/>
      </c>
    </row>
    <row r="424" spans="2:9" x14ac:dyDescent="0.25">
      <c r="B424" s="24" t="str">
        <f>IFERROR(INDEX(Activos!$B$3:$C$11, MATCH(C424,Activos!$B$3:$B$11),2),"")</f>
        <v/>
      </c>
      <c r="C424" s="24"/>
      <c r="D424" s="24"/>
      <c r="E424" s="23"/>
      <c r="F424" t="str">
        <f>IF(E424='Tablas AR'!$B$4,1,IF('Análisis de Riesgos'!E424='Tablas AR'!$B$5,2,IF('Análisis de Riesgos'!E424='Tablas AR'!$B$6,3,"")))</f>
        <v/>
      </c>
      <c r="G424" s="23"/>
      <c r="H424" t="str">
        <f>IF(G424='Tablas AR'!$B$10,1,IF('Análisis de Riesgos'!G424='Tablas AR'!$B$11,2,IF('Análisis de Riesgos'!G424='Tablas AR'!$B$12,3,"")))</f>
        <v/>
      </c>
      <c r="I424" t="str">
        <f t="shared" si="6"/>
        <v/>
      </c>
    </row>
    <row r="425" spans="2:9" x14ac:dyDescent="0.25">
      <c r="B425" s="24" t="str">
        <f>IFERROR(INDEX(Activos!$B$3:$C$11, MATCH(C425,Activos!$B$3:$B$11),2),"")</f>
        <v/>
      </c>
      <c r="C425" s="24"/>
      <c r="D425" s="24"/>
      <c r="E425" s="23"/>
      <c r="F425" t="str">
        <f>IF(E425='Tablas AR'!$B$4,1,IF('Análisis de Riesgos'!E425='Tablas AR'!$B$5,2,IF('Análisis de Riesgos'!E425='Tablas AR'!$B$6,3,"")))</f>
        <v/>
      </c>
      <c r="G425" s="23"/>
      <c r="H425" t="str">
        <f>IF(G425='Tablas AR'!$B$10,1,IF('Análisis de Riesgos'!G425='Tablas AR'!$B$11,2,IF('Análisis de Riesgos'!G425='Tablas AR'!$B$12,3,"")))</f>
        <v/>
      </c>
      <c r="I425" t="str">
        <f t="shared" si="6"/>
        <v/>
      </c>
    </row>
    <row r="426" spans="2:9" x14ac:dyDescent="0.25">
      <c r="B426" s="24" t="str">
        <f>IFERROR(INDEX(Activos!$B$3:$C$11, MATCH(C426,Activos!$B$3:$B$11),2),"")</f>
        <v/>
      </c>
      <c r="C426" s="24"/>
      <c r="D426" s="24"/>
      <c r="E426" s="23"/>
      <c r="F426" t="str">
        <f>IF(E426='Tablas AR'!$B$4,1,IF('Análisis de Riesgos'!E426='Tablas AR'!$B$5,2,IF('Análisis de Riesgos'!E426='Tablas AR'!$B$6,3,"")))</f>
        <v/>
      </c>
      <c r="G426" s="23"/>
      <c r="H426" t="str">
        <f>IF(G426='Tablas AR'!$B$10,1,IF('Análisis de Riesgos'!G426='Tablas AR'!$B$11,2,IF('Análisis de Riesgos'!G426='Tablas AR'!$B$12,3,"")))</f>
        <v/>
      </c>
      <c r="I426" t="str">
        <f t="shared" si="6"/>
        <v/>
      </c>
    </row>
    <row r="427" spans="2:9" x14ac:dyDescent="0.25">
      <c r="B427" s="24" t="str">
        <f>IFERROR(INDEX(Activos!$B$3:$C$11, MATCH(C427,Activos!$B$3:$B$11),2),"")</f>
        <v/>
      </c>
      <c r="C427" s="24"/>
      <c r="D427" s="24"/>
      <c r="E427" s="23"/>
      <c r="F427" t="str">
        <f>IF(E427='Tablas AR'!$B$4,1,IF('Análisis de Riesgos'!E427='Tablas AR'!$B$5,2,IF('Análisis de Riesgos'!E427='Tablas AR'!$B$6,3,"")))</f>
        <v/>
      </c>
      <c r="G427" s="23"/>
      <c r="H427" t="str">
        <f>IF(G427='Tablas AR'!$B$10,1,IF('Análisis de Riesgos'!G427='Tablas AR'!$B$11,2,IF('Análisis de Riesgos'!G427='Tablas AR'!$B$12,3,"")))</f>
        <v/>
      </c>
      <c r="I427" t="str">
        <f t="shared" si="6"/>
        <v/>
      </c>
    </row>
    <row r="428" spans="2:9" x14ac:dyDescent="0.25">
      <c r="B428" s="24" t="str">
        <f>IFERROR(INDEX(Activos!$B$3:$C$11, MATCH(C428,Activos!$B$3:$B$11),2),"")</f>
        <v/>
      </c>
      <c r="C428" s="24"/>
      <c r="D428" s="24"/>
      <c r="E428" s="23"/>
      <c r="F428" t="str">
        <f>IF(E428='Tablas AR'!$B$4,1,IF('Análisis de Riesgos'!E428='Tablas AR'!$B$5,2,IF('Análisis de Riesgos'!E428='Tablas AR'!$B$6,3,"")))</f>
        <v/>
      </c>
      <c r="G428" s="23"/>
      <c r="H428" t="str">
        <f>IF(G428='Tablas AR'!$B$10,1,IF('Análisis de Riesgos'!G428='Tablas AR'!$B$11,2,IF('Análisis de Riesgos'!G428='Tablas AR'!$B$12,3,"")))</f>
        <v/>
      </c>
      <c r="I428" t="str">
        <f t="shared" si="6"/>
        <v/>
      </c>
    </row>
    <row r="429" spans="2:9" x14ac:dyDescent="0.25">
      <c r="B429" s="24" t="str">
        <f>IFERROR(INDEX(Activos!$B$3:$C$11, MATCH(C429,Activos!$B$3:$B$11),2),"")</f>
        <v/>
      </c>
      <c r="C429" s="24"/>
      <c r="D429" s="24"/>
      <c r="E429" s="23"/>
      <c r="F429" t="str">
        <f>IF(E429='Tablas AR'!$B$4,1,IF('Análisis de Riesgos'!E429='Tablas AR'!$B$5,2,IF('Análisis de Riesgos'!E429='Tablas AR'!$B$6,3,"")))</f>
        <v/>
      </c>
      <c r="G429" s="23"/>
      <c r="H429" t="str">
        <f>IF(G429='Tablas AR'!$B$10,1,IF('Análisis de Riesgos'!G429='Tablas AR'!$B$11,2,IF('Análisis de Riesgos'!G429='Tablas AR'!$B$12,3,"")))</f>
        <v/>
      </c>
      <c r="I429" t="str">
        <f t="shared" si="6"/>
        <v/>
      </c>
    </row>
    <row r="430" spans="2:9" x14ac:dyDescent="0.25">
      <c r="B430" s="24" t="str">
        <f>IFERROR(INDEX(Activos!$B$3:$C$11, MATCH(C430,Activos!$B$3:$B$11),2),"")</f>
        <v/>
      </c>
      <c r="C430" s="24"/>
      <c r="D430" s="24"/>
      <c r="E430" s="23"/>
      <c r="F430" t="str">
        <f>IF(E430='Tablas AR'!$B$4,1,IF('Análisis de Riesgos'!E430='Tablas AR'!$B$5,2,IF('Análisis de Riesgos'!E430='Tablas AR'!$B$6,3,"")))</f>
        <v/>
      </c>
      <c r="G430" s="23"/>
      <c r="H430" t="str">
        <f>IF(G430='Tablas AR'!$B$10,1,IF('Análisis de Riesgos'!G430='Tablas AR'!$B$11,2,IF('Análisis de Riesgos'!G430='Tablas AR'!$B$12,3,"")))</f>
        <v/>
      </c>
      <c r="I430" t="str">
        <f t="shared" si="6"/>
        <v/>
      </c>
    </row>
    <row r="431" spans="2:9" x14ac:dyDescent="0.25">
      <c r="B431" s="24" t="str">
        <f>IFERROR(INDEX(Activos!$B$3:$C$11, MATCH(C431,Activos!$B$3:$B$11),2),"")</f>
        <v/>
      </c>
      <c r="C431" s="24"/>
      <c r="D431" s="24"/>
      <c r="E431" s="23"/>
      <c r="F431" t="str">
        <f>IF(E431='Tablas AR'!$B$4,1,IF('Análisis de Riesgos'!E431='Tablas AR'!$B$5,2,IF('Análisis de Riesgos'!E431='Tablas AR'!$B$6,3,"")))</f>
        <v/>
      </c>
      <c r="G431" s="23"/>
      <c r="H431" t="str">
        <f>IF(G431='Tablas AR'!$B$10,1,IF('Análisis de Riesgos'!G431='Tablas AR'!$B$11,2,IF('Análisis de Riesgos'!G431='Tablas AR'!$B$12,3,"")))</f>
        <v/>
      </c>
      <c r="I431" t="str">
        <f t="shared" si="6"/>
        <v/>
      </c>
    </row>
    <row r="432" spans="2:9" x14ac:dyDescent="0.25">
      <c r="B432" s="24" t="str">
        <f>IFERROR(INDEX(Activos!$B$3:$C$11, MATCH(C432,Activos!$B$3:$B$11),2),"")</f>
        <v/>
      </c>
      <c r="C432" s="24"/>
      <c r="D432" s="24"/>
      <c r="E432" s="23"/>
      <c r="F432" t="str">
        <f>IF(E432='Tablas AR'!$B$4,1,IF('Análisis de Riesgos'!E432='Tablas AR'!$B$5,2,IF('Análisis de Riesgos'!E432='Tablas AR'!$B$6,3,"")))</f>
        <v/>
      </c>
      <c r="G432" s="23"/>
      <c r="H432" t="str">
        <f>IF(G432='Tablas AR'!$B$10,1,IF('Análisis de Riesgos'!G432='Tablas AR'!$B$11,2,IF('Análisis de Riesgos'!G432='Tablas AR'!$B$12,3,"")))</f>
        <v/>
      </c>
      <c r="I432" t="str">
        <f t="shared" si="6"/>
        <v/>
      </c>
    </row>
    <row r="433" spans="2:9" x14ac:dyDescent="0.25">
      <c r="B433" s="24" t="str">
        <f>IFERROR(INDEX(Activos!$B$3:$C$11, MATCH(C433,Activos!$B$3:$B$11),2),"")</f>
        <v/>
      </c>
      <c r="C433" s="24"/>
      <c r="D433" s="24"/>
      <c r="E433" s="23"/>
      <c r="F433" t="str">
        <f>IF(E433='Tablas AR'!$B$4,1,IF('Análisis de Riesgos'!E433='Tablas AR'!$B$5,2,IF('Análisis de Riesgos'!E433='Tablas AR'!$B$6,3,"")))</f>
        <v/>
      </c>
      <c r="G433" s="23"/>
      <c r="H433" t="str">
        <f>IF(G433='Tablas AR'!$B$10,1,IF('Análisis de Riesgos'!G433='Tablas AR'!$B$11,2,IF('Análisis de Riesgos'!G433='Tablas AR'!$B$12,3,"")))</f>
        <v/>
      </c>
      <c r="I433" t="str">
        <f t="shared" si="6"/>
        <v/>
      </c>
    </row>
    <row r="434" spans="2:9" x14ac:dyDescent="0.25">
      <c r="B434" s="24" t="str">
        <f>IFERROR(INDEX(Activos!$B$3:$C$11, MATCH(C434,Activos!$B$3:$B$11),2),"")</f>
        <v/>
      </c>
      <c r="C434" s="24"/>
      <c r="D434" s="24"/>
      <c r="E434" s="23"/>
      <c r="F434" t="str">
        <f>IF(E434='Tablas AR'!$B$4,1,IF('Análisis de Riesgos'!E434='Tablas AR'!$B$5,2,IF('Análisis de Riesgos'!E434='Tablas AR'!$B$6,3,"")))</f>
        <v/>
      </c>
      <c r="G434" s="23"/>
      <c r="H434" t="str">
        <f>IF(G434='Tablas AR'!$B$10,1,IF('Análisis de Riesgos'!G434='Tablas AR'!$B$11,2,IF('Análisis de Riesgos'!G434='Tablas AR'!$B$12,3,"")))</f>
        <v/>
      </c>
      <c r="I434" t="str">
        <f t="shared" si="6"/>
        <v/>
      </c>
    </row>
    <row r="435" spans="2:9" x14ac:dyDescent="0.25">
      <c r="B435" s="24" t="str">
        <f>IFERROR(INDEX(Activos!$B$3:$C$11, MATCH(C435,Activos!$B$3:$B$11),2),"")</f>
        <v/>
      </c>
      <c r="C435" s="24"/>
      <c r="D435" s="24"/>
      <c r="E435" s="23"/>
      <c r="F435" t="str">
        <f>IF(E435='Tablas AR'!$B$4,1,IF('Análisis de Riesgos'!E435='Tablas AR'!$B$5,2,IF('Análisis de Riesgos'!E435='Tablas AR'!$B$6,3,"")))</f>
        <v/>
      </c>
      <c r="G435" s="23"/>
      <c r="H435" t="str">
        <f>IF(G435='Tablas AR'!$B$10,1,IF('Análisis de Riesgos'!G435='Tablas AR'!$B$11,2,IF('Análisis de Riesgos'!G435='Tablas AR'!$B$12,3,"")))</f>
        <v/>
      </c>
      <c r="I435" t="str">
        <f t="shared" si="6"/>
        <v/>
      </c>
    </row>
    <row r="436" spans="2:9" x14ac:dyDescent="0.25">
      <c r="B436" s="24" t="str">
        <f>IFERROR(INDEX(Activos!$B$3:$C$11, MATCH(C436,Activos!$B$3:$B$11),2),"")</f>
        <v/>
      </c>
      <c r="C436" s="24"/>
      <c r="D436" s="24"/>
      <c r="E436" s="23"/>
      <c r="F436" t="str">
        <f>IF(E436='Tablas AR'!$B$4,1,IF('Análisis de Riesgos'!E436='Tablas AR'!$B$5,2,IF('Análisis de Riesgos'!E436='Tablas AR'!$B$6,3,"")))</f>
        <v/>
      </c>
      <c r="G436" s="23"/>
      <c r="H436" t="str">
        <f>IF(G436='Tablas AR'!$B$10,1,IF('Análisis de Riesgos'!G436='Tablas AR'!$B$11,2,IF('Análisis de Riesgos'!G436='Tablas AR'!$B$12,3,"")))</f>
        <v/>
      </c>
      <c r="I436" t="str">
        <f t="shared" si="6"/>
        <v/>
      </c>
    </row>
    <row r="437" spans="2:9" x14ac:dyDescent="0.25">
      <c r="B437" s="24" t="str">
        <f>IFERROR(INDEX(Activos!$B$3:$C$11, MATCH(C437,Activos!$B$3:$B$11),2),"")</f>
        <v/>
      </c>
      <c r="C437" s="24"/>
      <c r="D437" s="24"/>
      <c r="E437" s="23"/>
      <c r="F437" t="str">
        <f>IF(E437='Tablas AR'!$B$4,1,IF('Análisis de Riesgos'!E437='Tablas AR'!$B$5,2,IF('Análisis de Riesgos'!E437='Tablas AR'!$B$6,3,"")))</f>
        <v/>
      </c>
      <c r="G437" s="23"/>
      <c r="H437" t="str">
        <f>IF(G437='Tablas AR'!$B$10,1,IF('Análisis de Riesgos'!G437='Tablas AR'!$B$11,2,IF('Análisis de Riesgos'!G437='Tablas AR'!$B$12,3,"")))</f>
        <v/>
      </c>
      <c r="I437" t="str">
        <f t="shared" si="6"/>
        <v/>
      </c>
    </row>
    <row r="438" spans="2:9" x14ac:dyDescent="0.25">
      <c r="B438" s="24" t="str">
        <f>IFERROR(INDEX(Activos!$B$3:$C$11, MATCH(C438,Activos!$B$3:$B$11),2),"")</f>
        <v/>
      </c>
      <c r="C438" s="24"/>
      <c r="D438" s="24"/>
      <c r="E438" s="23"/>
      <c r="F438" t="str">
        <f>IF(E438='Tablas AR'!$B$4,1,IF('Análisis de Riesgos'!E438='Tablas AR'!$B$5,2,IF('Análisis de Riesgos'!E438='Tablas AR'!$B$6,3,"")))</f>
        <v/>
      </c>
      <c r="G438" s="23"/>
      <c r="H438" t="str">
        <f>IF(G438='Tablas AR'!$B$10,1,IF('Análisis de Riesgos'!G438='Tablas AR'!$B$11,2,IF('Análisis de Riesgos'!G438='Tablas AR'!$B$12,3,"")))</f>
        <v/>
      </c>
      <c r="I438" t="str">
        <f t="shared" si="6"/>
        <v/>
      </c>
    </row>
    <row r="439" spans="2:9" x14ac:dyDescent="0.25">
      <c r="B439" s="24" t="str">
        <f>IFERROR(INDEX(Activos!$B$3:$C$11, MATCH(C439,Activos!$B$3:$B$11),2),"")</f>
        <v/>
      </c>
      <c r="C439" s="24"/>
      <c r="D439" s="24"/>
      <c r="E439" s="23"/>
      <c r="F439" t="str">
        <f>IF(E439='Tablas AR'!$B$4,1,IF('Análisis de Riesgos'!E439='Tablas AR'!$B$5,2,IF('Análisis de Riesgos'!E439='Tablas AR'!$B$6,3,"")))</f>
        <v/>
      </c>
      <c r="G439" s="23"/>
      <c r="H439" t="str">
        <f>IF(G439='Tablas AR'!$B$10,1,IF('Análisis de Riesgos'!G439='Tablas AR'!$B$11,2,IF('Análisis de Riesgos'!G439='Tablas AR'!$B$12,3,"")))</f>
        <v/>
      </c>
      <c r="I439" t="str">
        <f t="shared" si="6"/>
        <v/>
      </c>
    </row>
    <row r="440" spans="2:9" x14ac:dyDescent="0.25">
      <c r="B440" s="24" t="str">
        <f>IFERROR(INDEX(Activos!$B$3:$C$11, MATCH(C440,Activos!$B$3:$B$11),2),"")</f>
        <v/>
      </c>
      <c r="C440" s="24"/>
      <c r="D440" s="24"/>
      <c r="E440" s="23"/>
      <c r="F440" t="str">
        <f>IF(E440='Tablas AR'!$B$4,1,IF('Análisis de Riesgos'!E440='Tablas AR'!$B$5,2,IF('Análisis de Riesgos'!E440='Tablas AR'!$B$6,3,"")))</f>
        <v/>
      </c>
      <c r="G440" s="23"/>
      <c r="H440" t="str">
        <f>IF(G440='Tablas AR'!$B$10,1,IF('Análisis de Riesgos'!G440='Tablas AR'!$B$11,2,IF('Análisis de Riesgos'!G440='Tablas AR'!$B$12,3,"")))</f>
        <v/>
      </c>
      <c r="I440" t="str">
        <f t="shared" si="6"/>
        <v/>
      </c>
    </row>
    <row r="441" spans="2:9" x14ac:dyDescent="0.25">
      <c r="B441" s="24" t="str">
        <f>IFERROR(INDEX(Activos!$B$3:$C$11, MATCH(C441,Activos!$B$3:$B$11),2),"")</f>
        <v/>
      </c>
      <c r="C441" s="24"/>
      <c r="D441" s="24"/>
      <c r="E441" s="23"/>
      <c r="F441" t="str">
        <f>IF(E441='Tablas AR'!$B$4,1,IF('Análisis de Riesgos'!E441='Tablas AR'!$B$5,2,IF('Análisis de Riesgos'!E441='Tablas AR'!$B$6,3,"")))</f>
        <v/>
      </c>
      <c r="G441" s="23"/>
      <c r="H441" t="str">
        <f>IF(G441='Tablas AR'!$B$10,1,IF('Análisis de Riesgos'!G441='Tablas AR'!$B$11,2,IF('Análisis de Riesgos'!G441='Tablas AR'!$B$12,3,"")))</f>
        <v/>
      </c>
      <c r="I441" t="str">
        <f t="shared" si="6"/>
        <v/>
      </c>
    </row>
    <row r="442" spans="2:9" x14ac:dyDescent="0.25">
      <c r="B442" s="24" t="str">
        <f>IFERROR(INDEX(Activos!$B$3:$C$11, MATCH(C442,Activos!$B$3:$B$11),2),"")</f>
        <v/>
      </c>
      <c r="C442" s="24"/>
      <c r="D442" s="24"/>
      <c r="E442" s="23"/>
      <c r="F442" t="str">
        <f>IF(E442='Tablas AR'!$B$4,1,IF('Análisis de Riesgos'!E442='Tablas AR'!$B$5,2,IF('Análisis de Riesgos'!E442='Tablas AR'!$B$6,3,"")))</f>
        <v/>
      </c>
      <c r="G442" s="23"/>
      <c r="H442" t="str">
        <f>IF(G442='Tablas AR'!$B$10,1,IF('Análisis de Riesgos'!G442='Tablas AR'!$B$11,2,IF('Análisis de Riesgos'!G442='Tablas AR'!$B$12,3,"")))</f>
        <v/>
      </c>
      <c r="I442" t="str">
        <f t="shared" si="6"/>
        <v/>
      </c>
    </row>
    <row r="443" spans="2:9" x14ac:dyDescent="0.25">
      <c r="B443" s="24" t="str">
        <f>IFERROR(INDEX(Activos!$B$3:$C$11, MATCH(C443,Activos!$B$3:$B$11),2),"")</f>
        <v/>
      </c>
      <c r="C443" s="24"/>
      <c r="D443" s="24"/>
      <c r="E443" s="23"/>
      <c r="F443" t="str">
        <f>IF(E443='Tablas AR'!$B$4,1,IF('Análisis de Riesgos'!E443='Tablas AR'!$B$5,2,IF('Análisis de Riesgos'!E443='Tablas AR'!$B$6,3,"")))</f>
        <v/>
      </c>
      <c r="G443" s="23"/>
      <c r="H443" t="str">
        <f>IF(G443='Tablas AR'!$B$10,1,IF('Análisis de Riesgos'!G443='Tablas AR'!$B$11,2,IF('Análisis de Riesgos'!G443='Tablas AR'!$B$12,3,"")))</f>
        <v/>
      </c>
      <c r="I443" t="str">
        <f t="shared" si="6"/>
        <v/>
      </c>
    </row>
    <row r="444" spans="2:9" x14ac:dyDescent="0.25">
      <c r="B444" s="24" t="str">
        <f>IFERROR(INDEX(Activos!$B$3:$C$11, MATCH(C444,Activos!$B$3:$B$11),2),"")</f>
        <v/>
      </c>
      <c r="C444" s="24"/>
      <c r="D444" s="24"/>
      <c r="E444" s="23"/>
      <c r="F444" t="str">
        <f>IF(E444='Tablas AR'!$B$4,1,IF('Análisis de Riesgos'!E444='Tablas AR'!$B$5,2,IF('Análisis de Riesgos'!E444='Tablas AR'!$B$6,3,"")))</f>
        <v/>
      </c>
      <c r="G444" s="23"/>
      <c r="H444" t="str">
        <f>IF(G444='Tablas AR'!$B$10,1,IF('Análisis de Riesgos'!G444='Tablas AR'!$B$11,2,IF('Análisis de Riesgos'!G444='Tablas AR'!$B$12,3,"")))</f>
        <v/>
      </c>
      <c r="I444" t="str">
        <f t="shared" si="6"/>
        <v/>
      </c>
    </row>
    <row r="445" spans="2:9" x14ac:dyDescent="0.25">
      <c r="B445" s="24" t="str">
        <f>IFERROR(INDEX(Activos!$B$3:$C$11, MATCH(C445,Activos!$B$3:$B$11),2),"")</f>
        <v/>
      </c>
      <c r="C445" s="24"/>
      <c r="D445" s="24"/>
      <c r="E445" s="23"/>
      <c r="F445" t="str">
        <f>IF(E445='Tablas AR'!$B$4,1,IF('Análisis de Riesgos'!E445='Tablas AR'!$B$5,2,IF('Análisis de Riesgos'!E445='Tablas AR'!$B$6,3,"")))</f>
        <v/>
      </c>
      <c r="G445" s="23"/>
      <c r="H445" t="str">
        <f>IF(G445='Tablas AR'!$B$10,1,IF('Análisis de Riesgos'!G445='Tablas AR'!$B$11,2,IF('Análisis de Riesgos'!G445='Tablas AR'!$B$12,3,"")))</f>
        <v/>
      </c>
      <c r="I445" t="str">
        <f t="shared" si="6"/>
        <v/>
      </c>
    </row>
    <row r="446" spans="2:9" x14ac:dyDescent="0.25">
      <c r="B446" s="24" t="str">
        <f>IFERROR(INDEX(Activos!$B$3:$C$11, MATCH(C446,Activos!$B$3:$B$11),2),"")</f>
        <v/>
      </c>
      <c r="C446" s="24"/>
      <c r="D446" s="24"/>
      <c r="E446" s="23"/>
      <c r="F446" t="str">
        <f>IF(E446='Tablas AR'!$B$4,1,IF('Análisis de Riesgos'!E446='Tablas AR'!$B$5,2,IF('Análisis de Riesgos'!E446='Tablas AR'!$B$6,3,"")))</f>
        <v/>
      </c>
      <c r="G446" s="23"/>
      <c r="H446" t="str">
        <f>IF(G446='Tablas AR'!$B$10,1,IF('Análisis de Riesgos'!G446='Tablas AR'!$B$11,2,IF('Análisis de Riesgos'!G446='Tablas AR'!$B$12,3,"")))</f>
        <v/>
      </c>
      <c r="I446" t="str">
        <f t="shared" si="6"/>
        <v/>
      </c>
    </row>
    <row r="447" spans="2:9" x14ac:dyDescent="0.25">
      <c r="B447" s="24" t="str">
        <f>IFERROR(INDEX(Activos!$B$3:$C$11, MATCH(C447,Activos!$B$3:$B$11),2),"")</f>
        <v/>
      </c>
      <c r="C447" s="24"/>
      <c r="D447" s="24"/>
      <c r="E447" s="23"/>
      <c r="F447" t="str">
        <f>IF(E447='Tablas AR'!$B$4,1,IF('Análisis de Riesgos'!E447='Tablas AR'!$B$5,2,IF('Análisis de Riesgos'!E447='Tablas AR'!$B$6,3,"")))</f>
        <v/>
      </c>
      <c r="G447" s="23"/>
      <c r="H447" t="str">
        <f>IF(G447='Tablas AR'!$B$10,1,IF('Análisis de Riesgos'!G447='Tablas AR'!$B$11,2,IF('Análisis de Riesgos'!G447='Tablas AR'!$B$12,3,"")))</f>
        <v/>
      </c>
      <c r="I447" t="str">
        <f t="shared" si="6"/>
        <v/>
      </c>
    </row>
    <row r="448" spans="2:9" x14ac:dyDescent="0.25">
      <c r="B448" s="24" t="str">
        <f>IFERROR(INDEX(Activos!$B$3:$C$11, MATCH(C448,Activos!$B$3:$B$11),2),"")</f>
        <v/>
      </c>
      <c r="C448" s="24"/>
      <c r="D448" s="24"/>
      <c r="E448" s="23"/>
      <c r="F448" t="str">
        <f>IF(E448='Tablas AR'!$B$4,1,IF('Análisis de Riesgos'!E448='Tablas AR'!$B$5,2,IF('Análisis de Riesgos'!E448='Tablas AR'!$B$6,3,"")))</f>
        <v/>
      </c>
      <c r="G448" s="23"/>
      <c r="H448" t="str">
        <f>IF(G448='Tablas AR'!$B$10,1,IF('Análisis de Riesgos'!G448='Tablas AR'!$B$11,2,IF('Análisis de Riesgos'!G448='Tablas AR'!$B$12,3,"")))</f>
        <v/>
      </c>
      <c r="I448" t="str">
        <f t="shared" si="6"/>
        <v/>
      </c>
    </row>
    <row r="449" spans="2:9" x14ac:dyDescent="0.25">
      <c r="B449" s="24" t="str">
        <f>IFERROR(INDEX(Activos!$B$3:$C$11, MATCH(C449,Activos!$B$3:$B$11),2),"")</f>
        <v/>
      </c>
      <c r="C449" s="24"/>
      <c r="D449" s="24"/>
      <c r="E449" s="23"/>
      <c r="F449" t="str">
        <f>IF(E449='Tablas AR'!$B$4,1,IF('Análisis de Riesgos'!E449='Tablas AR'!$B$5,2,IF('Análisis de Riesgos'!E449='Tablas AR'!$B$6,3,"")))</f>
        <v/>
      </c>
      <c r="G449" s="23"/>
      <c r="H449" t="str">
        <f>IF(G449='Tablas AR'!$B$10,1,IF('Análisis de Riesgos'!G449='Tablas AR'!$B$11,2,IF('Análisis de Riesgos'!G449='Tablas AR'!$B$12,3,"")))</f>
        <v/>
      </c>
      <c r="I449" t="str">
        <f t="shared" si="6"/>
        <v/>
      </c>
    </row>
    <row r="450" spans="2:9" x14ac:dyDescent="0.25">
      <c r="B450" s="24" t="str">
        <f>IFERROR(INDEX(Activos!$B$3:$C$11, MATCH(C450,Activos!$B$3:$B$11),2),"")</f>
        <v/>
      </c>
      <c r="C450" s="24"/>
      <c r="D450" s="24"/>
      <c r="E450" s="23"/>
      <c r="F450" t="str">
        <f>IF(E450='Tablas AR'!$B$4,1,IF('Análisis de Riesgos'!E450='Tablas AR'!$B$5,2,IF('Análisis de Riesgos'!E450='Tablas AR'!$B$6,3,"")))</f>
        <v/>
      </c>
      <c r="G450" s="23"/>
      <c r="H450" t="str">
        <f>IF(G450='Tablas AR'!$B$10,1,IF('Análisis de Riesgos'!G450='Tablas AR'!$B$11,2,IF('Análisis de Riesgos'!G450='Tablas AR'!$B$12,3,"")))</f>
        <v/>
      </c>
      <c r="I450" t="str">
        <f t="shared" si="6"/>
        <v/>
      </c>
    </row>
    <row r="451" spans="2:9" x14ac:dyDescent="0.25">
      <c r="B451" s="24" t="str">
        <f>IFERROR(INDEX(Activos!$B$3:$C$11, MATCH(C451,Activos!$B$3:$B$11),2),"")</f>
        <v/>
      </c>
      <c r="C451" s="24"/>
      <c r="D451" s="24"/>
      <c r="E451" s="23"/>
      <c r="F451" t="str">
        <f>IF(E451='Tablas AR'!$B$4,1,IF('Análisis de Riesgos'!E451='Tablas AR'!$B$5,2,IF('Análisis de Riesgos'!E451='Tablas AR'!$B$6,3,"")))</f>
        <v/>
      </c>
      <c r="G451" s="23"/>
      <c r="H451" t="str">
        <f>IF(G451='Tablas AR'!$B$10,1,IF('Análisis de Riesgos'!G451='Tablas AR'!$B$11,2,IF('Análisis de Riesgos'!G451='Tablas AR'!$B$12,3,"")))</f>
        <v/>
      </c>
      <c r="I451" t="str">
        <f t="shared" si="6"/>
        <v/>
      </c>
    </row>
    <row r="452" spans="2:9" x14ac:dyDescent="0.25">
      <c r="B452" s="24" t="str">
        <f>IFERROR(INDEX(Activos!$B$3:$C$11, MATCH(C452,Activos!$B$3:$B$11),2),"")</f>
        <v/>
      </c>
      <c r="C452" s="24"/>
      <c r="D452" s="24"/>
      <c r="E452" s="23"/>
      <c r="F452" t="str">
        <f>IF(E452='Tablas AR'!$B$4,1,IF('Análisis de Riesgos'!E452='Tablas AR'!$B$5,2,IF('Análisis de Riesgos'!E452='Tablas AR'!$B$6,3,"")))</f>
        <v/>
      </c>
      <c r="G452" s="23"/>
      <c r="H452" t="str">
        <f>IF(G452='Tablas AR'!$B$10,1,IF('Análisis de Riesgos'!G452='Tablas AR'!$B$11,2,IF('Análisis de Riesgos'!G452='Tablas AR'!$B$12,3,"")))</f>
        <v/>
      </c>
      <c r="I452" t="str">
        <f t="shared" ref="I452:I515" si="7" xml:space="preserve"> IFERROR(F452*H452,"")</f>
        <v/>
      </c>
    </row>
    <row r="453" spans="2:9" x14ac:dyDescent="0.25">
      <c r="B453" s="24" t="str">
        <f>IFERROR(INDEX(Activos!$B$3:$C$11, MATCH(C453,Activos!$B$3:$B$11),2),"")</f>
        <v/>
      </c>
      <c r="C453" s="24"/>
      <c r="D453" s="24"/>
      <c r="E453" s="23"/>
      <c r="F453" t="str">
        <f>IF(E453='Tablas AR'!$B$4,1,IF('Análisis de Riesgos'!E453='Tablas AR'!$B$5,2,IF('Análisis de Riesgos'!E453='Tablas AR'!$B$6,3,"")))</f>
        <v/>
      </c>
      <c r="G453" s="23"/>
      <c r="H453" t="str">
        <f>IF(G453='Tablas AR'!$B$10,1,IF('Análisis de Riesgos'!G453='Tablas AR'!$B$11,2,IF('Análisis de Riesgos'!G453='Tablas AR'!$B$12,3,"")))</f>
        <v/>
      </c>
      <c r="I453" t="str">
        <f t="shared" si="7"/>
        <v/>
      </c>
    </row>
    <row r="454" spans="2:9" x14ac:dyDescent="0.25">
      <c r="B454" s="24" t="str">
        <f>IFERROR(INDEX(Activos!$B$3:$C$11, MATCH(C454,Activos!$B$3:$B$11),2),"")</f>
        <v/>
      </c>
      <c r="C454" s="24"/>
      <c r="D454" s="24"/>
      <c r="E454" s="23"/>
      <c r="F454" t="str">
        <f>IF(E454='Tablas AR'!$B$4,1,IF('Análisis de Riesgos'!E454='Tablas AR'!$B$5,2,IF('Análisis de Riesgos'!E454='Tablas AR'!$B$6,3,"")))</f>
        <v/>
      </c>
      <c r="G454" s="23"/>
      <c r="H454" t="str">
        <f>IF(G454='Tablas AR'!$B$10,1,IF('Análisis de Riesgos'!G454='Tablas AR'!$B$11,2,IF('Análisis de Riesgos'!G454='Tablas AR'!$B$12,3,"")))</f>
        <v/>
      </c>
      <c r="I454" t="str">
        <f t="shared" si="7"/>
        <v/>
      </c>
    </row>
    <row r="455" spans="2:9" x14ac:dyDescent="0.25">
      <c r="B455" s="24" t="str">
        <f>IFERROR(INDEX(Activos!$B$3:$C$11, MATCH(C455,Activos!$B$3:$B$11),2),"")</f>
        <v/>
      </c>
      <c r="C455" s="24"/>
      <c r="D455" s="24"/>
      <c r="E455" s="23"/>
      <c r="F455" t="str">
        <f>IF(E455='Tablas AR'!$B$4,1,IF('Análisis de Riesgos'!E455='Tablas AR'!$B$5,2,IF('Análisis de Riesgos'!E455='Tablas AR'!$B$6,3,"")))</f>
        <v/>
      </c>
      <c r="G455" s="23"/>
      <c r="H455" t="str">
        <f>IF(G455='Tablas AR'!$B$10,1,IF('Análisis de Riesgos'!G455='Tablas AR'!$B$11,2,IF('Análisis de Riesgos'!G455='Tablas AR'!$B$12,3,"")))</f>
        <v/>
      </c>
      <c r="I455" t="str">
        <f t="shared" si="7"/>
        <v/>
      </c>
    </row>
    <row r="456" spans="2:9" x14ac:dyDescent="0.25">
      <c r="B456" s="24" t="str">
        <f>IFERROR(INDEX(Activos!$B$3:$C$11, MATCH(C456,Activos!$B$3:$B$11),2),"")</f>
        <v/>
      </c>
      <c r="C456" s="24"/>
      <c r="D456" s="24"/>
      <c r="E456" s="23"/>
      <c r="F456" t="str">
        <f>IF(E456='Tablas AR'!$B$4,1,IF('Análisis de Riesgos'!E456='Tablas AR'!$B$5,2,IF('Análisis de Riesgos'!E456='Tablas AR'!$B$6,3,"")))</f>
        <v/>
      </c>
      <c r="G456" s="23"/>
      <c r="H456" t="str">
        <f>IF(G456='Tablas AR'!$B$10,1,IF('Análisis de Riesgos'!G456='Tablas AR'!$B$11,2,IF('Análisis de Riesgos'!G456='Tablas AR'!$B$12,3,"")))</f>
        <v/>
      </c>
      <c r="I456" t="str">
        <f t="shared" si="7"/>
        <v/>
      </c>
    </row>
    <row r="457" spans="2:9" x14ac:dyDescent="0.25">
      <c r="B457" s="24" t="str">
        <f>IFERROR(INDEX(Activos!$B$3:$C$11, MATCH(C457,Activos!$B$3:$B$11),2),"")</f>
        <v/>
      </c>
      <c r="C457" s="24"/>
      <c r="D457" s="24"/>
      <c r="E457" s="23"/>
      <c r="F457" t="str">
        <f>IF(E457='Tablas AR'!$B$4,1,IF('Análisis de Riesgos'!E457='Tablas AR'!$B$5,2,IF('Análisis de Riesgos'!E457='Tablas AR'!$B$6,3,"")))</f>
        <v/>
      </c>
      <c r="G457" s="23"/>
      <c r="H457" t="str">
        <f>IF(G457='Tablas AR'!$B$10,1,IF('Análisis de Riesgos'!G457='Tablas AR'!$B$11,2,IF('Análisis de Riesgos'!G457='Tablas AR'!$B$12,3,"")))</f>
        <v/>
      </c>
      <c r="I457" t="str">
        <f t="shared" si="7"/>
        <v/>
      </c>
    </row>
    <row r="458" spans="2:9" x14ac:dyDescent="0.25">
      <c r="B458" s="24" t="str">
        <f>IFERROR(INDEX(Activos!$B$3:$C$11, MATCH(C458,Activos!$B$3:$B$11),2),"")</f>
        <v/>
      </c>
      <c r="C458" s="24"/>
      <c r="D458" s="24"/>
      <c r="E458" s="23"/>
      <c r="F458" t="str">
        <f>IF(E458='Tablas AR'!$B$4,1,IF('Análisis de Riesgos'!E458='Tablas AR'!$B$5,2,IF('Análisis de Riesgos'!E458='Tablas AR'!$B$6,3,"")))</f>
        <v/>
      </c>
      <c r="G458" s="23"/>
      <c r="H458" t="str">
        <f>IF(G458='Tablas AR'!$B$10,1,IF('Análisis de Riesgos'!G458='Tablas AR'!$B$11,2,IF('Análisis de Riesgos'!G458='Tablas AR'!$B$12,3,"")))</f>
        <v/>
      </c>
      <c r="I458" t="str">
        <f t="shared" si="7"/>
        <v/>
      </c>
    </row>
    <row r="459" spans="2:9" x14ac:dyDescent="0.25">
      <c r="B459" s="24" t="str">
        <f>IFERROR(INDEX(Activos!$B$3:$C$11, MATCH(C459,Activos!$B$3:$B$11),2),"")</f>
        <v/>
      </c>
      <c r="C459" s="24"/>
      <c r="D459" s="24"/>
      <c r="E459" s="23"/>
      <c r="F459" t="str">
        <f>IF(E459='Tablas AR'!$B$4,1,IF('Análisis de Riesgos'!E459='Tablas AR'!$B$5,2,IF('Análisis de Riesgos'!E459='Tablas AR'!$B$6,3,"")))</f>
        <v/>
      </c>
      <c r="G459" s="23"/>
      <c r="H459" t="str">
        <f>IF(G459='Tablas AR'!$B$10,1,IF('Análisis de Riesgos'!G459='Tablas AR'!$B$11,2,IF('Análisis de Riesgos'!G459='Tablas AR'!$B$12,3,"")))</f>
        <v/>
      </c>
      <c r="I459" t="str">
        <f t="shared" si="7"/>
        <v/>
      </c>
    </row>
    <row r="460" spans="2:9" x14ac:dyDescent="0.25">
      <c r="B460" s="24" t="str">
        <f>IFERROR(INDEX(Activos!$B$3:$C$11, MATCH(C460,Activos!$B$3:$B$11),2),"")</f>
        <v/>
      </c>
      <c r="C460" s="24"/>
      <c r="D460" s="24"/>
      <c r="E460" s="23"/>
      <c r="F460" t="str">
        <f>IF(E460='Tablas AR'!$B$4,1,IF('Análisis de Riesgos'!E460='Tablas AR'!$B$5,2,IF('Análisis de Riesgos'!E460='Tablas AR'!$B$6,3,"")))</f>
        <v/>
      </c>
      <c r="G460" s="23"/>
      <c r="H460" t="str">
        <f>IF(G460='Tablas AR'!$B$10,1,IF('Análisis de Riesgos'!G460='Tablas AR'!$B$11,2,IF('Análisis de Riesgos'!G460='Tablas AR'!$B$12,3,"")))</f>
        <v/>
      </c>
      <c r="I460" t="str">
        <f t="shared" si="7"/>
        <v/>
      </c>
    </row>
    <row r="461" spans="2:9" x14ac:dyDescent="0.25">
      <c r="B461" s="24" t="str">
        <f>IFERROR(INDEX(Activos!$B$3:$C$11, MATCH(C461,Activos!$B$3:$B$11),2),"")</f>
        <v/>
      </c>
      <c r="C461" s="24"/>
      <c r="D461" s="24"/>
      <c r="E461" s="23"/>
      <c r="F461" t="str">
        <f>IF(E461='Tablas AR'!$B$4,1,IF('Análisis de Riesgos'!E461='Tablas AR'!$B$5,2,IF('Análisis de Riesgos'!E461='Tablas AR'!$B$6,3,"")))</f>
        <v/>
      </c>
      <c r="G461" s="23"/>
      <c r="H461" t="str">
        <f>IF(G461='Tablas AR'!$B$10,1,IF('Análisis de Riesgos'!G461='Tablas AR'!$B$11,2,IF('Análisis de Riesgos'!G461='Tablas AR'!$B$12,3,"")))</f>
        <v/>
      </c>
      <c r="I461" t="str">
        <f t="shared" si="7"/>
        <v/>
      </c>
    </row>
    <row r="462" spans="2:9" x14ac:dyDescent="0.25">
      <c r="B462" s="24" t="str">
        <f>IFERROR(INDEX(Activos!$B$3:$C$11, MATCH(C462,Activos!$B$3:$B$11),2),"")</f>
        <v/>
      </c>
      <c r="C462" s="24"/>
      <c r="D462" s="24"/>
      <c r="E462" s="23"/>
      <c r="F462" t="str">
        <f>IF(E462='Tablas AR'!$B$4,1,IF('Análisis de Riesgos'!E462='Tablas AR'!$B$5,2,IF('Análisis de Riesgos'!E462='Tablas AR'!$B$6,3,"")))</f>
        <v/>
      </c>
      <c r="G462" s="23"/>
      <c r="H462" t="str">
        <f>IF(G462='Tablas AR'!$B$10,1,IF('Análisis de Riesgos'!G462='Tablas AR'!$B$11,2,IF('Análisis de Riesgos'!G462='Tablas AR'!$B$12,3,"")))</f>
        <v/>
      </c>
      <c r="I462" t="str">
        <f t="shared" si="7"/>
        <v/>
      </c>
    </row>
    <row r="463" spans="2:9" x14ac:dyDescent="0.25">
      <c r="B463" s="24" t="str">
        <f>IFERROR(INDEX(Activos!$B$3:$C$11, MATCH(C463,Activos!$B$3:$B$11),2),"")</f>
        <v/>
      </c>
      <c r="C463" s="24"/>
      <c r="D463" s="24"/>
      <c r="E463" s="23"/>
      <c r="F463" t="str">
        <f>IF(E463='Tablas AR'!$B$4,1,IF('Análisis de Riesgos'!E463='Tablas AR'!$B$5,2,IF('Análisis de Riesgos'!E463='Tablas AR'!$B$6,3,"")))</f>
        <v/>
      </c>
      <c r="G463" s="23"/>
      <c r="H463" t="str">
        <f>IF(G463='Tablas AR'!$B$10,1,IF('Análisis de Riesgos'!G463='Tablas AR'!$B$11,2,IF('Análisis de Riesgos'!G463='Tablas AR'!$B$12,3,"")))</f>
        <v/>
      </c>
      <c r="I463" t="str">
        <f t="shared" si="7"/>
        <v/>
      </c>
    </row>
    <row r="464" spans="2:9" x14ac:dyDescent="0.25">
      <c r="B464" s="24" t="str">
        <f>IFERROR(INDEX(Activos!$B$3:$C$11, MATCH(C464,Activos!$B$3:$B$11),2),"")</f>
        <v/>
      </c>
      <c r="C464" s="24"/>
      <c r="D464" s="24"/>
      <c r="E464" s="23"/>
      <c r="F464" t="str">
        <f>IF(E464='Tablas AR'!$B$4,1,IF('Análisis de Riesgos'!E464='Tablas AR'!$B$5,2,IF('Análisis de Riesgos'!E464='Tablas AR'!$B$6,3,"")))</f>
        <v/>
      </c>
      <c r="G464" s="23"/>
      <c r="H464" t="str">
        <f>IF(G464='Tablas AR'!$B$10,1,IF('Análisis de Riesgos'!G464='Tablas AR'!$B$11,2,IF('Análisis de Riesgos'!G464='Tablas AR'!$B$12,3,"")))</f>
        <v/>
      </c>
      <c r="I464" t="str">
        <f t="shared" si="7"/>
        <v/>
      </c>
    </row>
    <row r="465" spans="2:9" x14ac:dyDescent="0.25">
      <c r="B465" s="24" t="str">
        <f>IFERROR(INDEX(Activos!$B$3:$C$11, MATCH(C465,Activos!$B$3:$B$11),2),"")</f>
        <v/>
      </c>
      <c r="C465" s="24"/>
      <c r="D465" s="24"/>
      <c r="E465" s="23"/>
      <c r="F465" t="str">
        <f>IF(E465='Tablas AR'!$B$4,1,IF('Análisis de Riesgos'!E465='Tablas AR'!$B$5,2,IF('Análisis de Riesgos'!E465='Tablas AR'!$B$6,3,"")))</f>
        <v/>
      </c>
      <c r="G465" s="23"/>
      <c r="H465" t="str">
        <f>IF(G465='Tablas AR'!$B$10,1,IF('Análisis de Riesgos'!G465='Tablas AR'!$B$11,2,IF('Análisis de Riesgos'!G465='Tablas AR'!$B$12,3,"")))</f>
        <v/>
      </c>
      <c r="I465" t="str">
        <f t="shared" si="7"/>
        <v/>
      </c>
    </row>
    <row r="466" spans="2:9" x14ac:dyDescent="0.25">
      <c r="B466" s="24" t="str">
        <f>IFERROR(INDEX(Activos!$B$3:$C$11, MATCH(C466,Activos!$B$3:$B$11),2),"")</f>
        <v/>
      </c>
      <c r="C466" s="24"/>
      <c r="D466" s="24"/>
      <c r="E466" s="23"/>
      <c r="F466" t="str">
        <f>IF(E466='Tablas AR'!$B$4,1,IF('Análisis de Riesgos'!E466='Tablas AR'!$B$5,2,IF('Análisis de Riesgos'!E466='Tablas AR'!$B$6,3,"")))</f>
        <v/>
      </c>
      <c r="G466" s="23"/>
      <c r="H466" t="str">
        <f>IF(G466='Tablas AR'!$B$10,1,IF('Análisis de Riesgos'!G466='Tablas AR'!$B$11,2,IF('Análisis de Riesgos'!G466='Tablas AR'!$B$12,3,"")))</f>
        <v/>
      </c>
      <c r="I466" t="str">
        <f t="shared" si="7"/>
        <v/>
      </c>
    </row>
    <row r="467" spans="2:9" x14ac:dyDescent="0.25">
      <c r="B467" s="24" t="str">
        <f>IFERROR(INDEX(Activos!$B$3:$C$11, MATCH(C467,Activos!$B$3:$B$11),2),"")</f>
        <v/>
      </c>
      <c r="C467" s="24"/>
      <c r="D467" s="24"/>
      <c r="E467" s="23"/>
      <c r="F467" t="str">
        <f>IF(E467='Tablas AR'!$B$4,1,IF('Análisis de Riesgos'!E467='Tablas AR'!$B$5,2,IF('Análisis de Riesgos'!E467='Tablas AR'!$B$6,3,"")))</f>
        <v/>
      </c>
      <c r="G467" s="23"/>
      <c r="H467" t="str">
        <f>IF(G467='Tablas AR'!$B$10,1,IF('Análisis de Riesgos'!G467='Tablas AR'!$B$11,2,IF('Análisis de Riesgos'!G467='Tablas AR'!$B$12,3,"")))</f>
        <v/>
      </c>
      <c r="I467" t="str">
        <f t="shared" si="7"/>
        <v/>
      </c>
    </row>
    <row r="468" spans="2:9" x14ac:dyDescent="0.25">
      <c r="B468" s="24" t="str">
        <f>IFERROR(INDEX(Activos!$B$3:$C$11, MATCH(C468,Activos!$B$3:$B$11),2),"")</f>
        <v/>
      </c>
      <c r="C468" s="24"/>
      <c r="D468" s="24"/>
      <c r="E468" s="23"/>
      <c r="F468" t="str">
        <f>IF(E468='Tablas AR'!$B$4,1,IF('Análisis de Riesgos'!E468='Tablas AR'!$B$5,2,IF('Análisis de Riesgos'!E468='Tablas AR'!$B$6,3,"")))</f>
        <v/>
      </c>
      <c r="G468" s="23"/>
      <c r="H468" t="str">
        <f>IF(G468='Tablas AR'!$B$10,1,IF('Análisis de Riesgos'!G468='Tablas AR'!$B$11,2,IF('Análisis de Riesgos'!G468='Tablas AR'!$B$12,3,"")))</f>
        <v/>
      </c>
      <c r="I468" t="str">
        <f t="shared" si="7"/>
        <v/>
      </c>
    </row>
    <row r="469" spans="2:9" x14ac:dyDescent="0.25">
      <c r="B469" s="24" t="str">
        <f>IFERROR(INDEX(Activos!$B$3:$C$11, MATCH(C469,Activos!$B$3:$B$11),2),"")</f>
        <v/>
      </c>
      <c r="C469" s="24"/>
      <c r="D469" s="24"/>
      <c r="E469" s="23"/>
      <c r="F469" t="str">
        <f>IF(E469='Tablas AR'!$B$4,1,IF('Análisis de Riesgos'!E469='Tablas AR'!$B$5,2,IF('Análisis de Riesgos'!E469='Tablas AR'!$B$6,3,"")))</f>
        <v/>
      </c>
      <c r="G469" s="23"/>
      <c r="H469" t="str">
        <f>IF(G469='Tablas AR'!$B$10,1,IF('Análisis de Riesgos'!G469='Tablas AR'!$B$11,2,IF('Análisis de Riesgos'!G469='Tablas AR'!$B$12,3,"")))</f>
        <v/>
      </c>
      <c r="I469" t="str">
        <f t="shared" si="7"/>
        <v/>
      </c>
    </row>
    <row r="470" spans="2:9" x14ac:dyDescent="0.25">
      <c r="B470" s="24" t="str">
        <f>IFERROR(INDEX(Activos!$B$3:$C$11, MATCH(C470,Activos!$B$3:$B$11),2),"")</f>
        <v/>
      </c>
      <c r="C470" s="24"/>
      <c r="D470" s="24"/>
      <c r="E470" s="23"/>
      <c r="F470" t="str">
        <f>IF(E470='Tablas AR'!$B$4,1,IF('Análisis de Riesgos'!E470='Tablas AR'!$B$5,2,IF('Análisis de Riesgos'!E470='Tablas AR'!$B$6,3,"")))</f>
        <v/>
      </c>
      <c r="G470" s="23"/>
      <c r="H470" t="str">
        <f>IF(G470='Tablas AR'!$B$10,1,IF('Análisis de Riesgos'!G470='Tablas AR'!$B$11,2,IF('Análisis de Riesgos'!G470='Tablas AR'!$B$12,3,"")))</f>
        <v/>
      </c>
      <c r="I470" t="str">
        <f t="shared" si="7"/>
        <v/>
      </c>
    </row>
    <row r="471" spans="2:9" x14ac:dyDescent="0.25">
      <c r="B471" s="24" t="str">
        <f>IFERROR(INDEX(Activos!$B$3:$C$11, MATCH(C471,Activos!$B$3:$B$11),2),"")</f>
        <v/>
      </c>
      <c r="C471" s="24"/>
      <c r="D471" s="24"/>
      <c r="E471" s="23"/>
      <c r="F471" t="str">
        <f>IF(E471='Tablas AR'!$B$4,1,IF('Análisis de Riesgos'!E471='Tablas AR'!$B$5,2,IF('Análisis de Riesgos'!E471='Tablas AR'!$B$6,3,"")))</f>
        <v/>
      </c>
      <c r="G471" s="23"/>
      <c r="H471" t="str">
        <f>IF(G471='Tablas AR'!$B$10,1,IF('Análisis de Riesgos'!G471='Tablas AR'!$B$11,2,IF('Análisis de Riesgos'!G471='Tablas AR'!$B$12,3,"")))</f>
        <v/>
      </c>
      <c r="I471" t="str">
        <f t="shared" si="7"/>
        <v/>
      </c>
    </row>
    <row r="472" spans="2:9" x14ac:dyDescent="0.25">
      <c r="B472" s="24" t="str">
        <f>IFERROR(INDEX(Activos!$B$3:$C$11, MATCH(C472,Activos!$B$3:$B$11),2),"")</f>
        <v/>
      </c>
      <c r="C472" s="24"/>
      <c r="D472" s="24"/>
      <c r="E472" s="23"/>
      <c r="F472" t="str">
        <f>IF(E472='Tablas AR'!$B$4,1,IF('Análisis de Riesgos'!E472='Tablas AR'!$B$5,2,IF('Análisis de Riesgos'!E472='Tablas AR'!$B$6,3,"")))</f>
        <v/>
      </c>
      <c r="G472" s="23"/>
      <c r="H472" t="str">
        <f>IF(G472='Tablas AR'!$B$10,1,IF('Análisis de Riesgos'!G472='Tablas AR'!$B$11,2,IF('Análisis de Riesgos'!G472='Tablas AR'!$B$12,3,"")))</f>
        <v/>
      </c>
      <c r="I472" t="str">
        <f t="shared" si="7"/>
        <v/>
      </c>
    </row>
    <row r="473" spans="2:9" x14ac:dyDescent="0.25">
      <c r="B473" s="24" t="str">
        <f>IFERROR(INDEX(Activos!$B$3:$C$11, MATCH(C473,Activos!$B$3:$B$11),2),"")</f>
        <v/>
      </c>
      <c r="C473" s="24"/>
      <c r="D473" s="24"/>
      <c r="E473" s="23"/>
      <c r="F473" t="str">
        <f>IF(E473='Tablas AR'!$B$4,1,IF('Análisis de Riesgos'!E473='Tablas AR'!$B$5,2,IF('Análisis de Riesgos'!E473='Tablas AR'!$B$6,3,"")))</f>
        <v/>
      </c>
      <c r="G473" s="23"/>
      <c r="H473" t="str">
        <f>IF(G473='Tablas AR'!$B$10,1,IF('Análisis de Riesgos'!G473='Tablas AR'!$B$11,2,IF('Análisis de Riesgos'!G473='Tablas AR'!$B$12,3,"")))</f>
        <v/>
      </c>
      <c r="I473" t="str">
        <f t="shared" si="7"/>
        <v/>
      </c>
    </row>
    <row r="474" spans="2:9" x14ac:dyDescent="0.25">
      <c r="B474" s="24" t="str">
        <f>IFERROR(INDEX(Activos!$B$3:$C$11, MATCH(C474,Activos!$B$3:$B$11),2),"")</f>
        <v/>
      </c>
      <c r="C474" s="24"/>
      <c r="D474" s="24"/>
      <c r="E474" s="23"/>
      <c r="F474" t="str">
        <f>IF(E474='Tablas AR'!$B$4,1,IF('Análisis de Riesgos'!E474='Tablas AR'!$B$5,2,IF('Análisis de Riesgos'!E474='Tablas AR'!$B$6,3,"")))</f>
        <v/>
      </c>
      <c r="G474" s="23"/>
      <c r="H474" t="str">
        <f>IF(G474='Tablas AR'!$B$10,1,IF('Análisis de Riesgos'!G474='Tablas AR'!$B$11,2,IF('Análisis de Riesgos'!G474='Tablas AR'!$B$12,3,"")))</f>
        <v/>
      </c>
      <c r="I474" t="str">
        <f t="shared" si="7"/>
        <v/>
      </c>
    </row>
    <row r="475" spans="2:9" x14ac:dyDescent="0.25">
      <c r="B475" s="24" t="str">
        <f>IFERROR(INDEX(Activos!$B$3:$C$11, MATCH(C475,Activos!$B$3:$B$11),2),"")</f>
        <v/>
      </c>
      <c r="C475" s="24"/>
      <c r="D475" s="24"/>
      <c r="E475" s="23"/>
      <c r="F475" t="str">
        <f>IF(E475='Tablas AR'!$B$4,1,IF('Análisis de Riesgos'!E475='Tablas AR'!$B$5,2,IF('Análisis de Riesgos'!E475='Tablas AR'!$B$6,3,"")))</f>
        <v/>
      </c>
      <c r="G475" s="23"/>
      <c r="H475" t="str">
        <f>IF(G475='Tablas AR'!$B$10,1,IF('Análisis de Riesgos'!G475='Tablas AR'!$B$11,2,IF('Análisis de Riesgos'!G475='Tablas AR'!$B$12,3,"")))</f>
        <v/>
      </c>
      <c r="I475" t="str">
        <f t="shared" si="7"/>
        <v/>
      </c>
    </row>
    <row r="476" spans="2:9" x14ac:dyDescent="0.25">
      <c r="B476" s="24" t="str">
        <f>IFERROR(INDEX(Activos!$B$3:$C$11, MATCH(C476,Activos!$B$3:$B$11),2),"")</f>
        <v/>
      </c>
      <c r="C476" s="24"/>
      <c r="D476" s="24"/>
      <c r="E476" s="23"/>
      <c r="F476" t="str">
        <f>IF(E476='Tablas AR'!$B$4,1,IF('Análisis de Riesgos'!E476='Tablas AR'!$B$5,2,IF('Análisis de Riesgos'!E476='Tablas AR'!$B$6,3,"")))</f>
        <v/>
      </c>
      <c r="G476" s="23"/>
      <c r="H476" t="str">
        <f>IF(G476='Tablas AR'!$B$10,1,IF('Análisis de Riesgos'!G476='Tablas AR'!$B$11,2,IF('Análisis de Riesgos'!G476='Tablas AR'!$B$12,3,"")))</f>
        <v/>
      </c>
      <c r="I476" t="str">
        <f t="shared" si="7"/>
        <v/>
      </c>
    </row>
    <row r="477" spans="2:9" x14ac:dyDescent="0.25">
      <c r="B477" s="24" t="str">
        <f>IFERROR(INDEX(Activos!$B$3:$C$11, MATCH(C477,Activos!$B$3:$B$11),2),"")</f>
        <v/>
      </c>
      <c r="C477" s="24"/>
      <c r="D477" s="24"/>
      <c r="E477" s="23"/>
      <c r="F477" t="str">
        <f>IF(E477='Tablas AR'!$B$4,1,IF('Análisis de Riesgos'!E477='Tablas AR'!$B$5,2,IF('Análisis de Riesgos'!E477='Tablas AR'!$B$6,3,"")))</f>
        <v/>
      </c>
      <c r="G477" s="23"/>
      <c r="H477" t="str">
        <f>IF(G477='Tablas AR'!$B$10,1,IF('Análisis de Riesgos'!G477='Tablas AR'!$B$11,2,IF('Análisis de Riesgos'!G477='Tablas AR'!$B$12,3,"")))</f>
        <v/>
      </c>
      <c r="I477" t="str">
        <f t="shared" si="7"/>
        <v/>
      </c>
    </row>
    <row r="478" spans="2:9" x14ac:dyDescent="0.25">
      <c r="B478" s="24" t="str">
        <f>IFERROR(INDEX(Activos!$B$3:$C$11, MATCH(C478,Activos!$B$3:$B$11),2),"")</f>
        <v/>
      </c>
      <c r="C478" s="24"/>
      <c r="D478" s="24"/>
      <c r="E478" s="23"/>
      <c r="F478" t="str">
        <f>IF(E478='Tablas AR'!$B$4,1,IF('Análisis de Riesgos'!E478='Tablas AR'!$B$5,2,IF('Análisis de Riesgos'!E478='Tablas AR'!$B$6,3,"")))</f>
        <v/>
      </c>
      <c r="G478" s="23"/>
      <c r="H478" t="str">
        <f>IF(G478='Tablas AR'!$B$10,1,IF('Análisis de Riesgos'!G478='Tablas AR'!$B$11,2,IF('Análisis de Riesgos'!G478='Tablas AR'!$B$12,3,"")))</f>
        <v/>
      </c>
      <c r="I478" t="str">
        <f t="shared" si="7"/>
        <v/>
      </c>
    </row>
    <row r="479" spans="2:9" x14ac:dyDescent="0.25">
      <c r="B479" s="24" t="str">
        <f>IFERROR(INDEX(Activos!$B$3:$C$11, MATCH(C479,Activos!$B$3:$B$11),2),"")</f>
        <v/>
      </c>
      <c r="C479" s="24"/>
      <c r="D479" s="24"/>
      <c r="E479" s="23"/>
      <c r="F479" t="str">
        <f>IF(E479='Tablas AR'!$B$4,1,IF('Análisis de Riesgos'!E479='Tablas AR'!$B$5,2,IF('Análisis de Riesgos'!E479='Tablas AR'!$B$6,3,"")))</f>
        <v/>
      </c>
      <c r="G479" s="23"/>
      <c r="H479" t="str">
        <f>IF(G479='Tablas AR'!$B$10,1,IF('Análisis de Riesgos'!G479='Tablas AR'!$B$11,2,IF('Análisis de Riesgos'!G479='Tablas AR'!$B$12,3,"")))</f>
        <v/>
      </c>
      <c r="I479" t="str">
        <f t="shared" si="7"/>
        <v/>
      </c>
    </row>
    <row r="480" spans="2:9" x14ac:dyDescent="0.25">
      <c r="B480" s="24" t="str">
        <f>IFERROR(INDEX(Activos!$B$3:$C$11, MATCH(C480,Activos!$B$3:$B$11),2),"")</f>
        <v/>
      </c>
      <c r="C480" s="24"/>
      <c r="D480" s="24"/>
      <c r="E480" s="23"/>
      <c r="F480" t="str">
        <f>IF(E480='Tablas AR'!$B$4,1,IF('Análisis de Riesgos'!E480='Tablas AR'!$B$5,2,IF('Análisis de Riesgos'!E480='Tablas AR'!$B$6,3,"")))</f>
        <v/>
      </c>
      <c r="G480" s="23"/>
      <c r="H480" t="str">
        <f>IF(G480='Tablas AR'!$B$10,1,IF('Análisis de Riesgos'!G480='Tablas AR'!$B$11,2,IF('Análisis de Riesgos'!G480='Tablas AR'!$B$12,3,"")))</f>
        <v/>
      </c>
      <c r="I480" t="str">
        <f t="shared" si="7"/>
        <v/>
      </c>
    </row>
    <row r="481" spans="2:9" x14ac:dyDescent="0.25">
      <c r="B481" s="24" t="str">
        <f>IFERROR(INDEX(Activos!$B$3:$C$11, MATCH(C481,Activos!$B$3:$B$11),2),"")</f>
        <v/>
      </c>
      <c r="C481" s="24"/>
      <c r="D481" s="24"/>
      <c r="E481" s="23"/>
      <c r="F481" t="str">
        <f>IF(E481='Tablas AR'!$B$4,1,IF('Análisis de Riesgos'!E481='Tablas AR'!$B$5,2,IF('Análisis de Riesgos'!E481='Tablas AR'!$B$6,3,"")))</f>
        <v/>
      </c>
      <c r="G481" s="23"/>
      <c r="H481" t="str">
        <f>IF(G481='Tablas AR'!$B$10,1,IF('Análisis de Riesgos'!G481='Tablas AR'!$B$11,2,IF('Análisis de Riesgos'!G481='Tablas AR'!$B$12,3,"")))</f>
        <v/>
      </c>
      <c r="I481" t="str">
        <f t="shared" si="7"/>
        <v/>
      </c>
    </row>
    <row r="482" spans="2:9" x14ac:dyDescent="0.25">
      <c r="B482" s="24" t="str">
        <f>IFERROR(INDEX(Activos!$B$3:$C$11, MATCH(C482,Activos!$B$3:$B$11),2),"")</f>
        <v/>
      </c>
      <c r="C482" s="24"/>
      <c r="D482" s="24"/>
      <c r="E482" s="23"/>
      <c r="F482" t="str">
        <f>IF(E482='Tablas AR'!$B$4,1,IF('Análisis de Riesgos'!E482='Tablas AR'!$B$5,2,IF('Análisis de Riesgos'!E482='Tablas AR'!$B$6,3,"")))</f>
        <v/>
      </c>
      <c r="G482" s="23"/>
      <c r="H482" t="str">
        <f>IF(G482='Tablas AR'!$B$10,1,IF('Análisis de Riesgos'!G482='Tablas AR'!$B$11,2,IF('Análisis de Riesgos'!G482='Tablas AR'!$B$12,3,"")))</f>
        <v/>
      </c>
      <c r="I482" t="str">
        <f t="shared" si="7"/>
        <v/>
      </c>
    </row>
    <row r="483" spans="2:9" x14ac:dyDescent="0.25">
      <c r="B483" s="24" t="str">
        <f>IFERROR(INDEX(Activos!$B$3:$C$11, MATCH(C483,Activos!$B$3:$B$11),2),"")</f>
        <v/>
      </c>
      <c r="C483" s="24"/>
      <c r="D483" s="24"/>
      <c r="E483" s="23"/>
      <c r="F483" t="str">
        <f>IF(E483='Tablas AR'!$B$4,1,IF('Análisis de Riesgos'!E483='Tablas AR'!$B$5,2,IF('Análisis de Riesgos'!E483='Tablas AR'!$B$6,3,"")))</f>
        <v/>
      </c>
      <c r="G483" s="23"/>
      <c r="H483" t="str">
        <f>IF(G483='Tablas AR'!$B$10,1,IF('Análisis de Riesgos'!G483='Tablas AR'!$B$11,2,IF('Análisis de Riesgos'!G483='Tablas AR'!$B$12,3,"")))</f>
        <v/>
      </c>
      <c r="I483" t="str">
        <f t="shared" si="7"/>
        <v/>
      </c>
    </row>
    <row r="484" spans="2:9" x14ac:dyDescent="0.25">
      <c r="B484" s="24" t="str">
        <f>IFERROR(INDEX(Activos!$B$3:$C$11, MATCH(C484,Activos!$B$3:$B$11),2),"")</f>
        <v/>
      </c>
      <c r="C484" s="24"/>
      <c r="D484" s="24"/>
      <c r="E484" s="23"/>
      <c r="F484" t="str">
        <f>IF(E484='Tablas AR'!$B$4,1,IF('Análisis de Riesgos'!E484='Tablas AR'!$B$5,2,IF('Análisis de Riesgos'!E484='Tablas AR'!$B$6,3,"")))</f>
        <v/>
      </c>
      <c r="G484" s="23"/>
      <c r="H484" t="str">
        <f>IF(G484='Tablas AR'!$B$10,1,IF('Análisis de Riesgos'!G484='Tablas AR'!$B$11,2,IF('Análisis de Riesgos'!G484='Tablas AR'!$B$12,3,"")))</f>
        <v/>
      </c>
      <c r="I484" t="str">
        <f t="shared" si="7"/>
        <v/>
      </c>
    </row>
    <row r="485" spans="2:9" x14ac:dyDescent="0.25">
      <c r="B485" s="24" t="str">
        <f>IFERROR(INDEX(Activos!$B$3:$C$11, MATCH(C485,Activos!$B$3:$B$11),2),"")</f>
        <v/>
      </c>
      <c r="C485" s="24"/>
      <c r="D485" s="24"/>
      <c r="E485" s="23"/>
      <c r="F485" t="str">
        <f>IF(E485='Tablas AR'!$B$4,1,IF('Análisis de Riesgos'!E485='Tablas AR'!$B$5,2,IF('Análisis de Riesgos'!E485='Tablas AR'!$B$6,3,"")))</f>
        <v/>
      </c>
      <c r="G485" s="23"/>
      <c r="H485" t="str">
        <f>IF(G485='Tablas AR'!$B$10,1,IF('Análisis de Riesgos'!G485='Tablas AR'!$B$11,2,IF('Análisis de Riesgos'!G485='Tablas AR'!$B$12,3,"")))</f>
        <v/>
      </c>
      <c r="I485" t="str">
        <f t="shared" si="7"/>
        <v/>
      </c>
    </row>
    <row r="486" spans="2:9" x14ac:dyDescent="0.25">
      <c r="B486" s="24" t="str">
        <f>IFERROR(INDEX(Activos!$B$3:$C$11, MATCH(C486,Activos!$B$3:$B$11),2),"")</f>
        <v/>
      </c>
      <c r="C486" s="24"/>
      <c r="D486" s="24"/>
      <c r="E486" s="23"/>
      <c r="F486" t="str">
        <f>IF(E486='Tablas AR'!$B$4,1,IF('Análisis de Riesgos'!E486='Tablas AR'!$B$5,2,IF('Análisis de Riesgos'!E486='Tablas AR'!$B$6,3,"")))</f>
        <v/>
      </c>
      <c r="G486" s="23"/>
      <c r="H486" t="str">
        <f>IF(G486='Tablas AR'!$B$10,1,IF('Análisis de Riesgos'!G486='Tablas AR'!$B$11,2,IF('Análisis de Riesgos'!G486='Tablas AR'!$B$12,3,"")))</f>
        <v/>
      </c>
      <c r="I486" t="str">
        <f t="shared" si="7"/>
        <v/>
      </c>
    </row>
    <row r="487" spans="2:9" x14ac:dyDescent="0.25">
      <c r="B487" s="24" t="str">
        <f>IFERROR(INDEX(Activos!$B$3:$C$11, MATCH(C487,Activos!$B$3:$B$11),2),"")</f>
        <v/>
      </c>
      <c r="C487" s="24"/>
      <c r="D487" s="24"/>
      <c r="E487" s="23"/>
      <c r="F487" t="str">
        <f>IF(E487='Tablas AR'!$B$4,1,IF('Análisis de Riesgos'!E487='Tablas AR'!$B$5,2,IF('Análisis de Riesgos'!E487='Tablas AR'!$B$6,3,"")))</f>
        <v/>
      </c>
      <c r="G487" s="23"/>
      <c r="H487" t="str">
        <f>IF(G487='Tablas AR'!$B$10,1,IF('Análisis de Riesgos'!G487='Tablas AR'!$B$11,2,IF('Análisis de Riesgos'!G487='Tablas AR'!$B$12,3,"")))</f>
        <v/>
      </c>
      <c r="I487" t="str">
        <f t="shared" si="7"/>
        <v/>
      </c>
    </row>
    <row r="488" spans="2:9" x14ac:dyDescent="0.25">
      <c r="B488" s="24" t="str">
        <f>IFERROR(INDEX(Activos!$B$3:$C$11, MATCH(C488,Activos!$B$3:$B$11),2),"")</f>
        <v/>
      </c>
      <c r="C488" s="24"/>
      <c r="D488" s="24"/>
      <c r="E488" s="23"/>
      <c r="F488" t="str">
        <f>IF(E488='Tablas AR'!$B$4,1,IF('Análisis de Riesgos'!E488='Tablas AR'!$B$5,2,IF('Análisis de Riesgos'!E488='Tablas AR'!$B$6,3,"")))</f>
        <v/>
      </c>
      <c r="G488" s="23"/>
      <c r="H488" t="str">
        <f>IF(G488='Tablas AR'!$B$10,1,IF('Análisis de Riesgos'!G488='Tablas AR'!$B$11,2,IF('Análisis de Riesgos'!G488='Tablas AR'!$B$12,3,"")))</f>
        <v/>
      </c>
      <c r="I488" t="str">
        <f t="shared" si="7"/>
        <v/>
      </c>
    </row>
    <row r="489" spans="2:9" x14ac:dyDescent="0.25">
      <c r="B489" s="24" t="str">
        <f>IFERROR(INDEX(Activos!$B$3:$C$11, MATCH(C489,Activos!$B$3:$B$11),2),"")</f>
        <v/>
      </c>
      <c r="C489" s="24"/>
      <c r="D489" s="24"/>
      <c r="E489" s="23"/>
      <c r="F489" t="str">
        <f>IF(E489='Tablas AR'!$B$4,1,IF('Análisis de Riesgos'!E489='Tablas AR'!$B$5,2,IF('Análisis de Riesgos'!E489='Tablas AR'!$B$6,3,"")))</f>
        <v/>
      </c>
      <c r="G489" s="23"/>
      <c r="H489" t="str">
        <f>IF(G489='Tablas AR'!$B$10,1,IF('Análisis de Riesgos'!G489='Tablas AR'!$B$11,2,IF('Análisis de Riesgos'!G489='Tablas AR'!$B$12,3,"")))</f>
        <v/>
      </c>
      <c r="I489" t="str">
        <f t="shared" si="7"/>
        <v/>
      </c>
    </row>
    <row r="490" spans="2:9" x14ac:dyDescent="0.25">
      <c r="B490" s="24" t="str">
        <f>IFERROR(INDEX(Activos!$B$3:$C$11, MATCH(C490,Activos!$B$3:$B$11),2),"")</f>
        <v/>
      </c>
      <c r="C490" s="24"/>
      <c r="D490" s="24"/>
      <c r="E490" s="23"/>
      <c r="F490" t="str">
        <f>IF(E490='Tablas AR'!$B$4,1,IF('Análisis de Riesgos'!E490='Tablas AR'!$B$5,2,IF('Análisis de Riesgos'!E490='Tablas AR'!$B$6,3,"")))</f>
        <v/>
      </c>
      <c r="G490" s="23"/>
      <c r="H490" t="str">
        <f>IF(G490='Tablas AR'!$B$10,1,IF('Análisis de Riesgos'!G490='Tablas AR'!$B$11,2,IF('Análisis de Riesgos'!G490='Tablas AR'!$B$12,3,"")))</f>
        <v/>
      </c>
      <c r="I490" t="str">
        <f t="shared" si="7"/>
        <v/>
      </c>
    </row>
    <row r="491" spans="2:9" x14ac:dyDescent="0.25">
      <c r="B491" s="24" t="str">
        <f>IFERROR(INDEX(Activos!$B$3:$C$11, MATCH(C491,Activos!$B$3:$B$11),2),"")</f>
        <v/>
      </c>
      <c r="C491" s="24"/>
      <c r="D491" s="24"/>
      <c r="E491" s="23"/>
      <c r="F491" t="str">
        <f>IF(E491='Tablas AR'!$B$4,1,IF('Análisis de Riesgos'!E491='Tablas AR'!$B$5,2,IF('Análisis de Riesgos'!E491='Tablas AR'!$B$6,3,"")))</f>
        <v/>
      </c>
      <c r="G491" s="23"/>
      <c r="H491" t="str">
        <f>IF(G491='Tablas AR'!$B$10,1,IF('Análisis de Riesgos'!G491='Tablas AR'!$B$11,2,IF('Análisis de Riesgos'!G491='Tablas AR'!$B$12,3,"")))</f>
        <v/>
      </c>
      <c r="I491" t="str">
        <f t="shared" si="7"/>
        <v/>
      </c>
    </row>
    <row r="492" spans="2:9" x14ac:dyDescent="0.25">
      <c r="B492" s="24" t="str">
        <f>IFERROR(INDEX(Activos!$B$3:$C$11, MATCH(C492,Activos!$B$3:$B$11),2),"")</f>
        <v/>
      </c>
      <c r="C492" s="24"/>
      <c r="D492" s="24"/>
      <c r="E492" s="23"/>
      <c r="F492" t="str">
        <f>IF(E492='Tablas AR'!$B$4,1,IF('Análisis de Riesgos'!E492='Tablas AR'!$B$5,2,IF('Análisis de Riesgos'!E492='Tablas AR'!$B$6,3,"")))</f>
        <v/>
      </c>
      <c r="G492" s="23"/>
      <c r="H492" t="str">
        <f>IF(G492='Tablas AR'!$B$10,1,IF('Análisis de Riesgos'!G492='Tablas AR'!$B$11,2,IF('Análisis de Riesgos'!G492='Tablas AR'!$B$12,3,"")))</f>
        <v/>
      </c>
      <c r="I492" t="str">
        <f t="shared" si="7"/>
        <v/>
      </c>
    </row>
    <row r="493" spans="2:9" x14ac:dyDescent="0.25">
      <c r="B493" s="24" t="str">
        <f>IFERROR(INDEX(Activos!$B$3:$C$11, MATCH(C493,Activos!$B$3:$B$11),2),"")</f>
        <v/>
      </c>
      <c r="C493" s="24"/>
      <c r="D493" s="24"/>
      <c r="E493" s="23"/>
      <c r="F493" t="str">
        <f>IF(E493='Tablas AR'!$B$4,1,IF('Análisis de Riesgos'!E493='Tablas AR'!$B$5,2,IF('Análisis de Riesgos'!E493='Tablas AR'!$B$6,3,"")))</f>
        <v/>
      </c>
      <c r="G493" s="23"/>
      <c r="H493" t="str">
        <f>IF(G493='Tablas AR'!$B$10,1,IF('Análisis de Riesgos'!G493='Tablas AR'!$B$11,2,IF('Análisis de Riesgos'!G493='Tablas AR'!$B$12,3,"")))</f>
        <v/>
      </c>
      <c r="I493" t="str">
        <f t="shared" si="7"/>
        <v/>
      </c>
    </row>
    <row r="494" spans="2:9" x14ac:dyDescent="0.25">
      <c r="B494" s="24" t="str">
        <f>IFERROR(INDEX(Activos!$B$3:$C$11, MATCH(C494,Activos!$B$3:$B$11),2),"")</f>
        <v/>
      </c>
      <c r="C494" s="24"/>
      <c r="D494" s="24"/>
      <c r="E494" s="23"/>
      <c r="F494" t="str">
        <f>IF(E494='Tablas AR'!$B$4,1,IF('Análisis de Riesgos'!E494='Tablas AR'!$B$5,2,IF('Análisis de Riesgos'!E494='Tablas AR'!$B$6,3,"")))</f>
        <v/>
      </c>
      <c r="G494" s="23"/>
      <c r="H494" t="str">
        <f>IF(G494='Tablas AR'!$B$10,1,IF('Análisis de Riesgos'!G494='Tablas AR'!$B$11,2,IF('Análisis de Riesgos'!G494='Tablas AR'!$B$12,3,"")))</f>
        <v/>
      </c>
      <c r="I494" t="str">
        <f t="shared" si="7"/>
        <v/>
      </c>
    </row>
    <row r="495" spans="2:9" x14ac:dyDescent="0.25">
      <c r="B495" s="24" t="str">
        <f>IFERROR(INDEX(Activos!$B$3:$C$11, MATCH(C495,Activos!$B$3:$B$11),2),"")</f>
        <v/>
      </c>
      <c r="C495" s="24"/>
      <c r="D495" s="24"/>
      <c r="E495" s="23"/>
      <c r="F495" t="str">
        <f>IF(E495='Tablas AR'!$B$4,1,IF('Análisis de Riesgos'!E495='Tablas AR'!$B$5,2,IF('Análisis de Riesgos'!E495='Tablas AR'!$B$6,3,"")))</f>
        <v/>
      </c>
      <c r="G495" s="23"/>
      <c r="H495" t="str">
        <f>IF(G495='Tablas AR'!$B$10,1,IF('Análisis de Riesgos'!G495='Tablas AR'!$B$11,2,IF('Análisis de Riesgos'!G495='Tablas AR'!$B$12,3,"")))</f>
        <v/>
      </c>
      <c r="I495" t="str">
        <f t="shared" si="7"/>
        <v/>
      </c>
    </row>
    <row r="496" spans="2:9" x14ac:dyDescent="0.25">
      <c r="B496" s="24" t="str">
        <f>IFERROR(INDEX(Activos!$B$3:$C$11, MATCH(C496,Activos!$B$3:$B$11),2),"")</f>
        <v/>
      </c>
      <c r="C496" s="24"/>
      <c r="D496" s="24"/>
      <c r="E496" s="23"/>
      <c r="F496" t="str">
        <f>IF(E496='Tablas AR'!$B$4,1,IF('Análisis de Riesgos'!E496='Tablas AR'!$B$5,2,IF('Análisis de Riesgos'!E496='Tablas AR'!$B$6,3,"")))</f>
        <v/>
      </c>
      <c r="G496" s="23"/>
      <c r="H496" t="str">
        <f>IF(G496='Tablas AR'!$B$10,1,IF('Análisis de Riesgos'!G496='Tablas AR'!$B$11,2,IF('Análisis de Riesgos'!G496='Tablas AR'!$B$12,3,"")))</f>
        <v/>
      </c>
      <c r="I496" t="str">
        <f t="shared" si="7"/>
        <v/>
      </c>
    </row>
    <row r="497" spans="2:9" x14ac:dyDescent="0.25">
      <c r="B497" s="24" t="str">
        <f>IFERROR(INDEX(Activos!$B$3:$C$11, MATCH(C497,Activos!$B$3:$B$11),2),"")</f>
        <v/>
      </c>
      <c r="C497" s="24"/>
      <c r="D497" s="24"/>
      <c r="E497" s="23"/>
      <c r="F497" t="str">
        <f>IF(E497='Tablas AR'!$B$4,1,IF('Análisis de Riesgos'!E497='Tablas AR'!$B$5,2,IF('Análisis de Riesgos'!E497='Tablas AR'!$B$6,3,"")))</f>
        <v/>
      </c>
      <c r="G497" s="23"/>
      <c r="H497" t="str">
        <f>IF(G497='Tablas AR'!$B$10,1,IF('Análisis de Riesgos'!G497='Tablas AR'!$B$11,2,IF('Análisis de Riesgos'!G497='Tablas AR'!$B$12,3,"")))</f>
        <v/>
      </c>
      <c r="I497" t="str">
        <f t="shared" si="7"/>
        <v/>
      </c>
    </row>
    <row r="498" spans="2:9" x14ac:dyDescent="0.25">
      <c r="B498" s="24" t="str">
        <f>IFERROR(INDEX(Activos!$B$3:$C$11, MATCH(C498,Activos!$B$3:$B$11),2),"")</f>
        <v/>
      </c>
      <c r="C498" s="24"/>
      <c r="D498" s="24"/>
      <c r="E498" s="23"/>
      <c r="F498" t="str">
        <f>IF(E498='Tablas AR'!$B$4,1,IF('Análisis de Riesgos'!E498='Tablas AR'!$B$5,2,IF('Análisis de Riesgos'!E498='Tablas AR'!$B$6,3,"")))</f>
        <v/>
      </c>
      <c r="G498" s="23"/>
      <c r="H498" t="str">
        <f>IF(G498='Tablas AR'!$B$10,1,IF('Análisis de Riesgos'!G498='Tablas AR'!$B$11,2,IF('Análisis de Riesgos'!G498='Tablas AR'!$B$12,3,"")))</f>
        <v/>
      </c>
      <c r="I498" t="str">
        <f t="shared" si="7"/>
        <v/>
      </c>
    </row>
    <row r="499" spans="2:9" x14ac:dyDescent="0.25">
      <c r="B499" s="24" t="str">
        <f>IFERROR(INDEX(Activos!$B$3:$C$11, MATCH(C499,Activos!$B$3:$B$11),2),"")</f>
        <v/>
      </c>
      <c r="C499" s="24"/>
      <c r="D499" s="24"/>
      <c r="E499" s="23"/>
      <c r="F499" t="str">
        <f>IF(E499='Tablas AR'!$B$4,1,IF('Análisis de Riesgos'!E499='Tablas AR'!$B$5,2,IF('Análisis de Riesgos'!E499='Tablas AR'!$B$6,3,"")))</f>
        <v/>
      </c>
      <c r="G499" s="23"/>
      <c r="H499" t="str">
        <f>IF(G499='Tablas AR'!$B$10,1,IF('Análisis de Riesgos'!G499='Tablas AR'!$B$11,2,IF('Análisis de Riesgos'!G499='Tablas AR'!$B$12,3,"")))</f>
        <v/>
      </c>
      <c r="I499" t="str">
        <f t="shared" si="7"/>
        <v/>
      </c>
    </row>
    <row r="500" spans="2:9" x14ac:dyDescent="0.25">
      <c r="B500" s="24" t="str">
        <f>IFERROR(INDEX(Activos!$B$3:$C$11, MATCH(C500,Activos!$B$3:$B$11),2),"")</f>
        <v/>
      </c>
      <c r="C500" s="24"/>
      <c r="D500" s="24"/>
      <c r="E500" s="23"/>
      <c r="F500" t="str">
        <f>IF(E500='Tablas AR'!$B$4,1,IF('Análisis de Riesgos'!E500='Tablas AR'!$B$5,2,IF('Análisis de Riesgos'!E500='Tablas AR'!$B$6,3,"")))</f>
        <v/>
      </c>
      <c r="G500" s="23"/>
      <c r="H500" t="str">
        <f>IF(G500='Tablas AR'!$B$10,1,IF('Análisis de Riesgos'!G500='Tablas AR'!$B$11,2,IF('Análisis de Riesgos'!G500='Tablas AR'!$B$12,3,"")))</f>
        <v/>
      </c>
      <c r="I500" t="str">
        <f t="shared" si="7"/>
        <v/>
      </c>
    </row>
    <row r="501" spans="2:9" x14ac:dyDescent="0.25">
      <c r="B501" s="24" t="str">
        <f>IFERROR(INDEX(Activos!$B$3:$C$11, MATCH(C501,Activos!$B$3:$B$11),2),"")</f>
        <v/>
      </c>
      <c r="C501" s="24"/>
      <c r="D501" s="24"/>
      <c r="E501" s="23"/>
      <c r="F501" t="str">
        <f>IF(E501='Tablas AR'!$B$4,1,IF('Análisis de Riesgos'!E501='Tablas AR'!$B$5,2,IF('Análisis de Riesgos'!E501='Tablas AR'!$B$6,3,"")))</f>
        <v/>
      </c>
      <c r="G501" s="23"/>
      <c r="H501" t="str">
        <f>IF(G501='Tablas AR'!$B$10,1,IF('Análisis de Riesgos'!G501='Tablas AR'!$B$11,2,IF('Análisis de Riesgos'!G501='Tablas AR'!$B$12,3,"")))</f>
        <v/>
      </c>
      <c r="I501" t="str">
        <f t="shared" si="7"/>
        <v/>
      </c>
    </row>
    <row r="502" spans="2:9" x14ac:dyDescent="0.25">
      <c r="B502" s="24" t="str">
        <f>IFERROR(INDEX(Activos!$B$3:$C$11, MATCH(C502,Activos!$B$3:$B$11),2),"")</f>
        <v/>
      </c>
      <c r="C502" s="24"/>
      <c r="D502" s="24"/>
      <c r="E502" s="23"/>
      <c r="F502" t="str">
        <f>IF(E502='Tablas AR'!$B$4,1,IF('Análisis de Riesgos'!E502='Tablas AR'!$B$5,2,IF('Análisis de Riesgos'!E502='Tablas AR'!$B$6,3,"")))</f>
        <v/>
      </c>
      <c r="G502" s="23"/>
      <c r="H502" t="str">
        <f>IF(G502='Tablas AR'!$B$10,1,IF('Análisis de Riesgos'!G502='Tablas AR'!$B$11,2,IF('Análisis de Riesgos'!G502='Tablas AR'!$B$12,3,"")))</f>
        <v/>
      </c>
      <c r="I502" t="str">
        <f t="shared" si="7"/>
        <v/>
      </c>
    </row>
    <row r="503" spans="2:9" x14ac:dyDescent="0.25">
      <c r="B503" s="24" t="str">
        <f>IFERROR(INDEX(Activos!$B$3:$C$11, MATCH(C503,Activos!$B$3:$B$11),2),"")</f>
        <v/>
      </c>
      <c r="C503" s="24"/>
      <c r="D503" s="24"/>
      <c r="E503" s="23"/>
      <c r="F503" t="str">
        <f>IF(E503='Tablas AR'!$B$4,1,IF('Análisis de Riesgos'!E503='Tablas AR'!$B$5,2,IF('Análisis de Riesgos'!E503='Tablas AR'!$B$6,3,"")))</f>
        <v/>
      </c>
      <c r="G503" s="23"/>
      <c r="H503" t="str">
        <f>IF(G503='Tablas AR'!$B$10,1,IF('Análisis de Riesgos'!G503='Tablas AR'!$B$11,2,IF('Análisis de Riesgos'!G503='Tablas AR'!$B$12,3,"")))</f>
        <v/>
      </c>
      <c r="I503" t="str">
        <f t="shared" si="7"/>
        <v/>
      </c>
    </row>
    <row r="504" spans="2:9" x14ac:dyDescent="0.25">
      <c r="B504" s="24" t="str">
        <f>IFERROR(INDEX(Activos!$B$3:$C$11, MATCH(C504,Activos!$B$3:$B$11),2),"")</f>
        <v/>
      </c>
      <c r="C504" s="24"/>
      <c r="D504" s="24"/>
      <c r="E504" s="23"/>
      <c r="F504" t="str">
        <f>IF(E504='Tablas AR'!$B$4,1,IF('Análisis de Riesgos'!E504='Tablas AR'!$B$5,2,IF('Análisis de Riesgos'!E504='Tablas AR'!$B$6,3,"")))</f>
        <v/>
      </c>
      <c r="G504" s="23"/>
      <c r="H504" t="str">
        <f>IF(G504='Tablas AR'!$B$10,1,IF('Análisis de Riesgos'!G504='Tablas AR'!$B$11,2,IF('Análisis de Riesgos'!G504='Tablas AR'!$B$12,3,"")))</f>
        <v/>
      </c>
      <c r="I504" t="str">
        <f t="shared" si="7"/>
        <v/>
      </c>
    </row>
    <row r="505" spans="2:9" x14ac:dyDescent="0.25">
      <c r="B505" s="24" t="str">
        <f>IFERROR(INDEX(Activos!$B$3:$C$11, MATCH(C505,Activos!$B$3:$B$11),2),"")</f>
        <v/>
      </c>
      <c r="C505" s="24"/>
      <c r="D505" s="24"/>
      <c r="E505" s="23"/>
      <c r="F505" t="str">
        <f>IF(E505='Tablas AR'!$B$4,1,IF('Análisis de Riesgos'!E505='Tablas AR'!$B$5,2,IF('Análisis de Riesgos'!E505='Tablas AR'!$B$6,3,"")))</f>
        <v/>
      </c>
      <c r="G505" s="23"/>
      <c r="H505" t="str">
        <f>IF(G505='Tablas AR'!$B$10,1,IF('Análisis de Riesgos'!G505='Tablas AR'!$B$11,2,IF('Análisis de Riesgos'!G505='Tablas AR'!$B$12,3,"")))</f>
        <v/>
      </c>
      <c r="I505" t="str">
        <f t="shared" si="7"/>
        <v/>
      </c>
    </row>
    <row r="506" spans="2:9" x14ac:dyDescent="0.25">
      <c r="B506" s="24" t="str">
        <f>IFERROR(INDEX(Activos!$B$3:$C$11, MATCH(C506,Activos!$B$3:$B$11),2),"")</f>
        <v/>
      </c>
      <c r="C506" s="24"/>
      <c r="D506" s="24"/>
      <c r="E506" s="23"/>
      <c r="F506" t="str">
        <f>IF(E506='Tablas AR'!$B$4,1,IF('Análisis de Riesgos'!E506='Tablas AR'!$B$5,2,IF('Análisis de Riesgos'!E506='Tablas AR'!$B$6,3,"")))</f>
        <v/>
      </c>
      <c r="G506" s="23"/>
      <c r="H506" t="str">
        <f>IF(G506='Tablas AR'!$B$10,1,IF('Análisis de Riesgos'!G506='Tablas AR'!$B$11,2,IF('Análisis de Riesgos'!G506='Tablas AR'!$B$12,3,"")))</f>
        <v/>
      </c>
      <c r="I506" t="str">
        <f t="shared" si="7"/>
        <v/>
      </c>
    </row>
    <row r="507" spans="2:9" x14ac:dyDescent="0.25">
      <c r="B507" s="24" t="str">
        <f>IFERROR(INDEX(Activos!$B$3:$C$11, MATCH(C507,Activos!$B$3:$B$11),2),"")</f>
        <v/>
      </c>
      <c r="C507" s="24"/>
      <c r="D507" s="24"/>
      <c r="E507" s="23"/>
      <c r="F507" t="str">
        <f>IF(E507='Tablas AR'!$B$4,1,IF('Análisis de Riesgos'!E507='Tablas AR'!$B$5,2,IF('Análisis de Riesgos'!E507='Tablas AR'!$B$6,3,"")))</f>
        <v/>
      </c>
      <c r="G507" s="23"/>
      <c r="H507" t="str">
        <f>IF(G507='Tablas AR'!$B$10,1,IF('Análisis de Riesgos'!G507='Tablas AR'!$B$11,2,IF('Análisis de Riesgos'!G507='Tablas AR'!$B$12,3,"")))</f>
        <v/>
      </c>
      <c r="I507" t="str">
        <f t="shared" si="7"/>
        <v/>
      </c>
    </row>
    <row r="508" spans="2:9" x14ac:dyDescent="0.25">
      <c r="B508" s="24" t="str">
        <f>IFERROR(INDEX(Activos!$B$3:$C$11, MATCH(C508,Activos!$B$3:$B$11),2),"")</f>
        <v/>
      </c>
      <c r="C508" s="24"/>
      <c r="D508" s="24"/>
      <c r="E508" s="23"/>
      <c r="F508" t="str">
        <f>IF(E508='Tablas AR'!$B$4,1,IF('Análisis de Riesgos'!E508='Tablas AR'!$B$5,2,IF('Análisis de Riesgos'!E508='Tablas AR'!$B$6,3,"")))</f>
        <v/>
      </c>
      <c r="G508" s="23"/>
      <c r="H508" t="str">
        <f>IF(G508='Tablas AR'!$B$10,1,IF('Análisis de Riesgos'!G508='Tablas AR'!$B$11,2,IF('Análisis de Riesgos'!G508='Tablas AR'!$B$12,3,"")))</f>
        <v/>
      </c>
      <c r="I508" t="str">
        <f t="shared" si="7"/>
        <v/>
      </c>
    </row>
    <row r="509" spans="2:9" x14ac:dyDescent="0.25">
      <c r="B509" s="24" t="str">
        <f>IFERROR(INDEX(Activos!$B$3:$C$11, MATCH(C509,Activos!$B$3:$B$11),2),"")</f>
        <v/>
      </c>
      <c r="C509" s="24"/>
      <c r="D509" s="24"/>
      <c r="E509" s="23"/>
      <c r="F509" t="str">
        <f>IF(E509='Tablas AR'!$B$4,1,IF('Análisis de Riesgos'!E509='Tablas AR'!$B$5,2,IF('Análisis de Riesgos'!E509='Tablas AR'!$B$6,3,"")))</f>
        <v/>
      </c>
      <c r="G509" s="23"/>
      <c r="H509" t="str">
        <f>IF(G509='Tablas AR'!$B$10,1,IF('Análisis de Riesgos'!G509='Tablas AR'!$B$11,2,IF('Análisis de Riesgos'!G509='Tablas AR'!$B$12,3,"")))</f>
        <v/>
      </c>
      <c r="I509" t="str">
        <f t="shared" si="7"/>
        <v/>
      </c>
    </row>
    <row r="510" spans="2:9" x14ac:dyDescent="0.25">
      <c r="B510" s="24" t="str">
        <f>IFERROR(INDEX(Activos!$B$3:$C$11, MATCH(C510,Activos!$B$3:$B$11),2),"")</f>
        <v/>
      </c>
      <c r="C510" s="24"/>
      <c r="D510" s="24"/>
      <c r="E510" s="23"/>
      <c r="F510" t="str">
        <f>IF(E510='Tablas AR'!$B$4,1,IF('Análisis de Riesgos'!E510='Tablas AR'!$B$5,2,IF('Análisis de Riesgos'!E510='Tablas AR'!$B$6,3,"")))</f>
        <v/>
      </c>
      <c r="G510" s="23"/>
      <c r="H510" t="str">
        <f>IF(G510='Tablas AR'!$B$10,1,IF('Análisis de Riesgos'!G510='Tablas AR'!$B$11,2,IF('Análisis de Riesgos'!G510='Tablas AR'!$B$12,3,"")))</f>
        <v/>
      </c>
      <c r="I510" t="str">
        <f t="shared" si="7"/>
        <v/>
      </c>
    </row>
    <row r="511" spans="2:9" x14ac:dyDescent="0.25">
      <c r="B511" s="24" t="str">
        <f>IFERROR(INDEX(Activos!$B$3:$C$11, MATCH(C511,Activos!$B$3:$B$11),2),"")</f>
        <v/>
      </c>
      <c r="C511" s="24"/>
      <c r="D511" s="24"/>
      <c r="E511" s="23"/>
      <c r="F511" t="str">
        <f>IF(E511='Tablas AR'!$B$4,1,IF('Análisis de Riesgos'!E511='Tablas AR'!$B$5,2,IF('Análisis de Riesgos'!E511='Tablas AR'!$B$6,3,"")))</f>
        <v/>
      </c>
      <c r="G511" s="23"/>
      <c r="H511" t="str">
        <f>IF(G511='Tablas AR'!$B$10,1,IF('Análisis de Riesgos'!G511='Tablas AR'!$B$11,2,IF('Análisis de Riesgos'!G511='Tablas AR'!$B$12,3,"")))</f>
        <v/>
      </c>
      <c r="I511" t="str">
        <f t="shared" si="7"/>
        <v/>
      </c>
    </row>
    <row r="512" spans="2:9" x14ac:dyDescent="0.25">
      <c r="B512" s="24" t="str">
        <f>IFERROR(INDEX(Activos!$B$3:$C$11, MATCH(C512,Activos!$B$3:$B$11),2),"")</f>
        <v/>
      </c>
      <c r="C512" s="24"/>
      <c r="D512" s="24"/>
      <c r="E512" s="23"/>
      <c r="F512" t="str">
        <f>IF(E512='Tablas AR'!$B$4,1,IF('Análisis de Riesgos'!E512='Tablas AR'!$B$5,2,IF('Análisis de Riesgos'!E512='Tablas AR'!$B$6,3,"")))</f>
        <v/>
      </c>
      <c r="G512" s="23"/>
      <c r="H512" t="str">
        <f>IF(G512='Tablas AR'!$B$10,1,IF('Análisis de Riesgos'!G512='Tablas AR'!$B$11,2,IF('Análisis de Riesgos'!G512='Tablas AR'!$B$12,3,"")))</f>
        <v/>
      </c>
      <c r="I512" t="str">
        <f t="shared" si="7"/>
        <v/>
      </c>
    </row>
    <row r="513" spans="2:9" x14ac:dyDescent="0.25">
      <c r="B513" s="24" t="str">
        <f>IFERROR(INDEX(Activos!$B$3:$C$11, MATCH(C513,Activos!$B$3:$B$11),2),"")</f>
        <v/>
      </c>
      <c r="C513" s="24"/>
      <c r="D513" s="24"/>
      <c r="E513" s="23"/>
      <c r="F513" t="str">
        <f>IF(E513='Tablas AR'!$B$4,1,IF('Análisis de Riesgos'!E513='Tablas AR'!$B$5,2,IF('Análisis de Riesgos'!E513='Tablas AR'!$B$6,3,"")))</f>
        <v/>
      </c>
      <c r="G513" s="23"/>
      <c r="H513" t="str">
        <f>IF(G513='Tablas AR'!$B$10,1,IF('Análisis de Riesgos'!G513='Tablas AR'!$B$11,2,IF('Análisis de Riesgos'!G513='Tablas AR'!$B$12,3,"")))</f>
        <v/>
      </c>
      <c r="I513" t="str">
        <f t="shared" si="7"/>
        <v/>
      </c>
    </row>
    <row r="514" spans="2:9" x14ac:dyDescent="0.25">
      <c r="B514" s="24" t="str">
        <f>IFERROR(INDEX(Activos!$B$3:$C$11, MATCH(C514,Activos!$B$3:$B$11),2),"")</f>
        <v/>
      </c>
      <c r="C514" s="24"/>
      <c r="D514" s="24"/>
      <c r="E514" s="23"/>
      <c r="F514" t="str">
        <f>IF(E514='Tablas AR'!$B$4,1,IF('Análisis de Riesgos'!E514='Tablas AR'!$B$5,2,IF('Análisis de Riesgos'!E514='Tablas AR'!$B$6,3,"")))</f>
        <v/>
      </c>
      <c r="G514" s="23"/>
      <c r="H514" t="str">
        <f>IF(G514='Tablas AR'!$B$10,1,IF('Análisis de Riesgos'!G514='Tablas AR'!$B$11,2,IF('Análisis de Riesgos'!G514='Tablas AR'!$B$12,3,"")))</f>
        <v/>
      </c>
      <c r="I514" t="str">
        <f t="shared" si="7"/>
        <v/>
      </c>
    </row>
    <row r="515" spans="2:9" x14ac:dyDescent="0.25">
      <c r="B515" s="24" t="str">
        <f>IFERROR(INDEX(Activos!$B$3:$C$11, MATCH(C515,Activos!$B$3:$B$11),2),"")</f>
        <v/>
      </c>
      <c r="C515" s="24"/>
      <c r="D515" s="24"/>
      <c r="E515" s="23"/>
      <c r="F515" t="str">
        <f>IF(E515='Tablas AR'!$B$4,1,IF('Análisis de Riesgos'!E515='Tablas AR'!$B$5,2,IF('Análisis de Riesgos'!E515='Tablas AR'!$B$6,3,"")))</f>
        <v/>
      </c>
      <c r="G515" s="23"/>
      <c r="H515" t="str">
        <f>IF(G515='Tablas AR'!$B$10,1,IF('Análisis de Riesgos'!G515='Tablas AR'!$B$11,2,IF('Análisis de Riesgos'!G515='Tablas AR'!$B$12,3,"")))</f>
        <v/>
      </c>
      <c r="I515" t="str">
        <f t="shared" si="7"/>
        <v/>
      </c>
    </row>
    <row r="516" spans="2:9" x14ac:dyDescent="0.25">
      <c r="B516" s="24" t="str">
        <f>IFERROR(INDEX(Activos!$B$3:$C$11, MATCH(C516,Activos!$B$3:$B$11),2),"")</f>
        <v/>
      </c>
      <c r="C516" s="24"/>
      <c r="D516" s="24"/>
      <c r="E516" s="23"/>
      <c r="F516" t="str">
        <f>IF(E516='Tablas AR'!$B$4,1,IF('Análisis de Riesgos'!E516='Tablas AR'!$B$5,2,IF('Análisis de Riesgos'!E516='Tablas AR'!$B$6,3,"")))</f>
        <v/>
      </c>
      <c r="G516" s="23"/>
      <c r="H516" t="str">
        <f>IF(G516='Tablas AR'!$B$10,1,IF('Análisis de Riesgos'!G516='Tablas AR'!$B$11,2,IF('Análisis de Riesgos'!G516='Tablas AR'!$B$12,3,"")))</f>
        <v/>
      </c>
      <c r="I516" t="str">
        <f t="shared" ref="I516:I579" si="8" xml:space="preserve"> IFERROR(F516*H516,"")</f>
        <v/>
      </c>
    </row>
    <row r="517" spans="2:9" x14ac:dyDescent="0.25">
      <c r="B517" s="24" t="str">
        <f>IFERROR(INDEX(Activos!$B$3:$C$11, MATCH(C517,Activos!$B$3:$B$11),2),"")</f>
        <v/>
      </c>
      <c r="C517" s="24"/>
      <c r="D517" s="24"/>
      <c r="E517" s="23"/>
      <c r="F517" t="str">
        <f>IF(E517='Tablas AR'!$B$4,1,IF('Análisis de Riesgos'!E517='Tablas AR'!$B$5,2,IF('Análisis de Riesgos'!E517='Tablas AR'!$B$6,3,"")))</f>
        <v/>
      </c>
      <c r="G517" s="23"/>
      <c r="H517" t="str">
        <f>IF(G517='Tablas AR'!$B$10,1,IF('Análisis de Riesgos'!G517='Tablas AR'!$B$11,2,IF('Análisis de Riesgos'!G517='Tablas AR'!$B$12,3,"")))</f>
        <v/>
      </c>
      <c r="I517" t="str">
        <f t="shared" si="8"/>
        <v/>
      </c>
    </row>
    <row r="518" spans="2:9" x14ac:dyDescent="0.25">
      <c r="B518" s="24" t="str">
        <f>IFERROR(INDEX(Activos!$B$3:$C$11, MATCH(C518,Activos!$B$3:$B$11),2),"")</f>
        <v/>
      </c>
      <c r="C518" s="24"/>
      <c r="D518" s="24"/>
      <c r="E518" s="23"/>
      <c r="F518" t="str">
        <f>IF(E518='Tablas AR'!$B$4,1,IF('Análisis de Riesgos'!E518='Tablas AR'!$B$5,2,IF('Análisis de Riesgos'!E518='Tablas AR'!$B$6,3,"")))</f>
        <v/>
      </c>
      <c r="G518" s="23"/>
      <c r="H518" t="str">
        <f>IF(G518='Tablas AR'!$B$10,1,IF('Análisis de Riesgos'!G518='Tablas AR'!$B$11,2,IF('Análisis de Riesgos'!G518='Tablas AR'!$B$12,3,"")))</f>
        <v/>
      </c>
      <c r="I518" t="str">
        <f t="shared" si="8"/>
        <v/>
      </c>
    </row>
    <row r="519" spans="2:9" x14ac:dyDescent="0.25">
      <c r="B519" s="24" t="str">
        <f>IFERROR(INDEX(Activos!$B$3:$C$11, MATCH(C519,Activos!$B$3:$B$11),2),"")</f>
        <v/>
      </c>
      <c r="C519" s="24"/>
      <c r="D519" s="24"/>
      <c r="E519" s="23"/>
      <c r="F519" t="str">
        <f>IF(E519='Tablas AR'!$B$4,1,IF('Análisis de Riesgos'!E519='Tablas AR'!$B$5,2,IF('Análisis de Riesgos'!E519='Tablas AR'!$B$6,3,"")))</f>
        <v/>
      </c>
      <c r="G519" s="23"/>
      <c r="H519" t="str">
        <f>IF(G519='Tablas AR'!$B$10,1,IF('Análisis de Riesgos'!G519='Tablas AR'!$B$11,2,IF('Análisis de Riesgos'!G519='Tablas AR'!$B$12,3,"")))</f>
        <v/>
      </c>
      <c r="I519" t="str">
        <f t="shared" si="8"/>
        <v/>
      </c>
    </row>
    <row r="520" spans="2:9" x14ac:dyDescent="0.25">
      <c r="B520" s="24" t="str">
        <f>IFERROR(INDEX(Activos!$B$3:$C$11, MATCH(C520,Activos!$B$3:$B$11),2),"")</f>
        <v/>
      </c>
      <c r="C520" s="24"/>
      <c r="D520" s="24"/>
      <c r="E520" s="23"/>
      <c r="F520" t="str">
        <f>IF(E520='Tablas AR'!$B$4,1,IF('Análisis de Riesgos'!E520='Tablas AR'!$B$5,2,IF('Análisis de Riesgos'!E520='Tablas AR'!$B$6,3,"")))</f>
        <v/>
      </c>
      <c r="G520" s="23"/>
      <c r="H520" t="str">
        <f>IF(G520='Tablas AR'!$B$10,1,IF('Análisis de Riesgos'!G520='Tablas AR'!$B$11,2,IF('Análisis de Riesgos'!G520='Tablas AR'!$B$12,3,"")))</f>
        <v/>
      </c>
      <c r="I520" t="str">
        <f t="shared" si="8"/>
        <v/>
      </c>
    </row>
    <row r="521" spans="2:9" x14ac:dyDescent="0.25">
      <c r="B521" s="24" t="str">
        <f>IFERROR(INDEX(Activos!$B$3:$C$11, MATCH(C521,Activos!$B$3:$B$11),2),"")</f>
        <v/>
      </c>
      <c r="C521" s="24"/>
      <c r="D521" s="24"/>
      <c r="E521" s="23"/>
      <c r="F521" t="str">
        <f>IF(E521='Tablas AR'!$B$4,1,IF('Análisis de Riesgos'!E521='Tablas AR'!$B$5,2,IF('Análisis de Riesgos'!E521='Tablas AR'!$B$6,3,"")))</f>
        <v/>
      </c>
      <c r="G521" s="23"/>
      <c r="H521" t="str">
        <f>IF(G521='Tablas AR'!$B$10,1,IF('Análisis de Riesgos'!G521='Tablas AR'!$B$11,2,IF('Análisis de Riesgos'!G521='Tablas AR'!$B$12,3,"")))</f>
        <v/>
      </c>
      <c r="I521" t="str">
        <f t="shared" si="8"/>
        <v/>
      </c>
    </row>
    <row r="522" spans="2:9" x14ac:dyDescent="0.25">
      <c r="B522" s="24" t="str">
        <f>IFERROR(INDEX(Activos!$B$3:$C$11, MATCH(C522,Activos!$B$3:$B$11),2),"")</f>
        <v/>
      </c>
      <c r="C522" s="24"/>
      <c r="D522" s="24"/>
      <c r="E522" s="23"/>
      <c r="F522" t="str">
        <f>IF(E522='Tablas AR'!$B$4,1,IF('Análisis de Riesgos'!E522='Tablas AR'!$B$5,2,IF('Análisis de Riesgos'!E522='Tablas AR'!$B$6,3,"")))</f>
        <v/>
      </c>
      <c r="G522" s="23"/>
      <c r="H522" t="str">
        <f>IF(G522='Tablas AR'!$B$10,1,IF('Análisis de Riesgos'!G522='Tablas AR'!$B$11,2,IF('Análisis de Riesgos'!G522='Tablas AR'!$B$12,3,"")))</f>
        <v/>
      </c>
      <c r="I522" t="str">
        <f t="shared" si="8"/>
        <v/>
      </c>
    </row>
    <row r="523" spans="2:9" x14ac:dyDescent="0.25">
      <c r="B523" s="24" t="str">
        <f>IFERROR(INDEX(Activos!$B$3:$C$11, MATCH(C523,Activos!$B$3:$B$11),2),"")</f>
        <v/>
      </c>
      <c r="C523" s="24"/>
      <c r="D523" s="24"/>
      <c r="E523" s="23"/>
      <c r="F523" t="str">
        <f>IF(E523='Tablas AR'!$B$4,1,IF('Análisis de Riesgos'!E523='Tablas AR'!$B$5,2,IF('Análisis de Riesgos'!E523='Tablas AR'!$B$6,3,"")))</f>
        <v/>
      </c>
      <c r="G523" s="23"/>
      <c r="H523" t="str">
        <f>IF(G523='Tablas AR'!$B$10,1,IF('Análisis de Riesgos'!G523='Tablas AR'!$B$11,2,IF('Análisis de Riesgos'!G523='Tablas AR'!$B$12,3,"")))</f>
        <v/>
      </c>
      <c r="I523" t="str">
        <f t="shared" si="8"/>
        <v/>
      </c>
    </row>
    <row r="524" spans="2:9" x14ac:dyDescent="0.25">
      <c r="B524" s="24" t="str">
        <f>IFERROR(INDEX(Activos!$B$3:$C$11, MATCH(C524,Activos!$B$3:$B$11),2),"")</f>
        <v/>
      </c>
      <c r="C524" s="24"/>
      <c r="D524" s="24"/>
      <c r="E524" s="23"/>
      <c r="F524" t="str">
        <f>IF(E524='Tablas AR'!$B$4,1,IF('Análisis de Riesgos'!E524='Tablas AR'!$B$5,2,IF('Análisis de Riesgos'!E524='Tablas AR'!$B$6,3,"")))</f>
        <v/>
      </c>
      <c r="G524" s="23"/>
      <c r="H524" t="str">
        <f>IF(G524='Tablas AR'!$B$10,1,IF('Análisis de Riesgos'!G524='Tablas AR'!$B$11,2,IF('Análisis de Riesgos'!G524='Tablas AR'!$B$12,3,"")))</f>
        <v/>
      </c>
      <c r="I524" t="str">
        <f t="shared" si="8"/>
        <v/>
      </c>
    </row>
    <row r="525" spans="2:9" x14ac:dyDescent="0.25">
      <c r="B525" s="24" t="str">
        <f>IFERROR(INDEX(Activos!$B$3:$C$11, MATCH(C525,Activos!$B$3:$B$11),2),"")</f>
        <v/>
      </c>
      <c r="C525" s="24"/>
      <c r="D525" s="24"/>
      <c r="E525" s="23"/>
      <c r="F525" t="str">
        <f>IF(E525='Tablas AR'!$B$4,1,IF('Análisis de Riesgos'!E525='Tablas AR'!$B$5,2,IF('Análisis de Riesgos'!E525='Tablas AR'!$B$6,3,"")))</f>
        <v/>
      </c>
      <c r="G525" s="23"/>
      <c r="H525" t="str">
        <f>IF(G525='Tablas AR'!$B$10,1,IF('Análisis de Riesgos'!G525='Tablas AR'!$B$11,2,IF('Análisis de Riesgos'!G525='Tablas AR'!$B$12,3,"")))</f>
        <v/>
      </c>
      <c r="I525" t="str">
        <f t="shared" si="8"/>
        <v/>
      </c>
    </row>
    <row r="526" spans="2:9" x14ac:dyDescent="0.25">
      <c r="B526" s="24" t="str">
        <f>IFERROR(INDEX(Activos!$B$3:$C$11, MATCH(C526,Activos!$B$3:$B$11),2),"")</f>
        <v/>
      </c>
      <c r="C526" s="24"/>
      <c r="D526" s="24"/>
      <c r="E526" s="23"/>
      <c r="F526" t="str">
        <f>IF(E526='Tablas AR'!$B$4,1,IF('Análisis de Riesgos'!E526='Tablas AR'!$B$5,2,IF('Análisis de Riesgos'!E526='Tablas AR'!$B$6,3,"")))</f>
        <v/>
      </c>
      <c r="G526" s="23"/>
      <c r="H526" t="str">
        <f>IF(G526='Tablas AR'!$B$10,1,IF('Análisis de Riesgos'!G526='Tablas AR'!$B$11,2,IF('Análisis de Riesgos'!G526='Tablas AR'!$B$12,3,"")))</f>
        <v/>
      </c>
      <c r="I526" t="str">
        <f t="shared" si="8"/>
        <v/>
      </c>
    </row>
    <row r="527" spans="2:9" x14ac:dyDescent="0.25">
      <c r="B527" s="24" t="str">
        <f>IFERROR(INDEX(Activos!$B$3:$C$11, MATCH(C527,Activos!$B$3:$B$11),2),"")</f>
        <v/>
      </c>
      <c r="C527" s="24"/>
      <c r="D527" s="24"/>
      <c r="E527" s="23"/>
      <c r="F527" t="str">
        <f>IF(E527='Tablas AR'!$B$4,1,IF('Análisis de Riesgos'!E527='Tablas AR'!$B$5,2,IF('Análisis de Riesgos'!E527='Tablas AR'!$B$6,3,"")))</f>
        <v/>
      </c>
      <c r="G527" s="23"/>
      <c r="H527" t="str">
        <f>IF(G527='Tablas AR'!$B$10,1,IF('Análisis de Riesgos'!G527='Tablas AR'!$B$11,2,IF('Análisis de Riesgos'!G527='Tablas AR'!$B$12,3,"")))</f>
        <v/>
      </c>
      <c r="I527" t="str">
        <f t="shared" si="8"/>
        <v/>
      </c>
    </row>
    <row r="528" spans="2:9" x14ac:dyDescent="0.25">
      <c r="B528" s="24" t="str">
        <f>IFERROR(INDEX(Activos!$B$3:$C$11, MATCH(C528,Activos!$B$3:$B$11),2),"")</f>
        <v/>
      </c>
      <c r="C528" s="24"/>
      <c r="D528" s="24"/>
      <c r="E528" s="23"/>
      <c r="F528" t="str">
        <f>IF(E528='Tablas AR'!$B$4,1,IF('Análisis de Riesgos'!E528='Tablas AR'!$B$5,2,IF('Análisis de Riesgos'!E528='Tablas AR'!$B$6,3,"")))</f>
        <v/>
      </c>
      <c r="G528" s="23"/>
      <c r="H528" t="str">
        <f>IF(G528='Tablas AR'!$B$10,1,IF('Análisis de Riesgos'!G528='Tablas AR'!$B$11,2,IF('Análisis de Riesgos'!G528='Tablas AR'!$B$12,3,"")))</f>
        <v/>
      </c>
      <c r="I528" t="str">
        <f t="shared" si="8"/>
        <v/>
      </c>
    </row>
    <row r="529" spans="2:9" x14ac:dyDescent="0.25">
      <c r="B529" s="24" t="str">
        <f>IFERROR(INDEX(Activos!$B$3:$C$11, MATCH(C529,Activos!$B$3:$B$11),2),"")</f>
        <v/>
      </c>
      <c r="C529" s="24"/>
      <c r="D529" s="24"/>
      <c r="E529" s="23"/>
      <c r="F529" t="str">
        <f>IF(E529='Tablas AR'!$B$4,1,IF('Análisis de Riesgos'!E529='Tablas AR'!$B$5,2,IF('Análisis de Riesgos'!E529='Tablas AR'!$B$6,3,"")))</f>
        <v/>
      </c>
      <c r="G529" s="23"/>
      <c r="H529" t="str">
        <f>IF(G529='Tablas AR'!$B$10,1,IF('Análisis de Riesgos'!G529='Tablas AR'!$B$11,2,IF('Análisis de Riesgos'!G529='Tablas AR'!$B$12,3,"")))</f>
        <v/>
      </c>
      <c r="I529" t="str">
        <f t="shared" si="8"/>
        <v/>
      </c>
    </row>
    <row r="530" spans="2:9" x14ac:dyDescent="0.25">
      <c r="B530" s="24" t="str">
        <f>IFERROR(INDEX(Activos!$B$3:$C$11, MATCH(C530,Activos!$B$3:$B$11),2),"")</f>
        <v/>
      </c>
      <c r="C530" s="24"/>
      <c r="D530" s="24"/>
      <c r="E530" s="23"/>
      <c r="F530" t="str">
        <f>IF(E530='Tablas AR'!$B$4,1,IF('Análisis de Riesgos'!E530='Tablas AR'!$B$5,2,IF('Análisis de Riesgos'!E530='Tablas AR'!$B$6,3,"")))</f>
        <v/>
      </c>
      <c r="G530" s="23"/>
      <c r="H530" t="str">
        <f>IF(G530='Tablas AR'!$B$10,1,IF('Análisis de Riesgos'!G530='Tablas AR'!$B$11,2,IF('Análisis de Riesgos'!G530='Tablas AR'!$B$12,3,"")))</f>
        <v/>
      </c>
      <c r="I530" t="str">
        <f t="shared" si="8"/>
        <v/>
      </c>
    </row>
    <row r="531" spans="2:9" x14ac:dyDescent="0.25">
      <c r="B531" s="24" t="str">
        <f>IFERROR(INDEX(Activos!$B$3:$C$11, MATCH(C531,Activos!$B$3:$B$11),2),"")</f>
        <v/>
      </c>
      <c r="C531" s="24"/>
      <c r="D531" s="24"/>
      <c r="E531" s="23"/>
      <c r="F531" t="str">
        <f>IF(E531='Tablas AR'!$B$4,1,IF('Análisis de Riesgos'!E531='Tablas AR'!$B$5,2,IF('Análisis de Riesgos'!E531='Tablas AR'!$B$6,3,"")))</f>
        <v/>
      </c>
      <c r="G531" s="23"/>
      <c r="H531" t="str">
        <f>IF(G531='Tablas AR'!$B$10,1,IF('Análisis de Riesgos'!G531='Tablas AR'!$B$11,2,IF('Análisis de Riesgos'!G531='Tablas AR'!$B$12,3,"")))</f>
        <v/>
      </c>
      <c r="I531" t="str">
        <f t="shared" si="8"/>
        <v/>
      </c>
    </row>
    <row r="532" spans="2:9" x14ac:dyDescent="0.25">
      <c r="B532" s="24" t="str">
        <f>IFERROR(INDEX(Activos!$B$3:$C$11, MATCH(C532,Activos!$B$3:$B$11),2),"")</f>
        <v/>
      </c>
      <c r="C532" s="24"/>
      <c r="D532" s="24"/>
      <c r="E532" s="23"/>
      <c r="F532" t="str">
        <f>IF(E532='Tablas AR'!$B$4,1,IF('Análisis de Riesgos'!E532='Tablas AR'!$B$5,2,IF('Análisis de Riesgos'!E532='Tablas AR'!$B$6,3,"")))</f>
        <v/>
      </c>
      <c r="G532" s="23"/>
      <c r="H532" t="str">
        <f>IF(G532='Tablas AR'!$B$10,1,IF('Análisis de Riesgos'!G532='Tablas AR'!$B$11,2,IF('Análisis de Riesgos'!G532='Tablas AR'!$B$12,3,"")))</f>
        <v/>
      </c>
      <c r="I532" t="str">
        <f t="shared" si="8"/>
        <v/>
      </c>
    </row>
    <row r="533" spans="2:9" x14ac:dyDescent="0.25">
      <c r="B533" s="24" t="str">
        <f>IFERROR(INDEX(Activos!$B$3:$C$11, MATCH(C533,Activos!$B$3:$B$11),2),"")</f>
        <v/>
      </c>
      <c r="C533" s="24"/>
      <c r="D533" s="24"/>
      <c r="E533" s="23"/>
      <c r="F533" t="str">
        <f>IF(E533='Tablas AR'!$B$4,1,IF('Análisis de Riesgos'!E533='Tablas AR'!$B$5,2,IF('Análisis de Riesgos'!E533='Tablas AR'!$B$6,3,"")))</f>
        <v/>
      </c>
      <c r="G533" s="23"/>
      <c r="H533" t="str">
        <f>IF(G533='Tablas AR'!$B$10,1,IF('Análisis de Riesgos'!G533='Tablas AR'!$B$11,2,IF('Análisis de Riesgos'!G533='Tablas AR'!$B$12,3,"")))</f>
        <v/>
      </c>
      <c r="I533" t="str">
        <f t="shared" si="8"/>
        <v/>
      </c>
    </row>
    <row r="534" spans="2:9" x14ac:dyDescent="0.25">
      <c r="B534" s="24" t="str">
        <f>IFERROR(INDEX(Activos!$B$3:$C$11, MATCH(C534,Activos!$B$3:$B$11),2),"")</f>
        <v/>
      </c>
      <c r="C534" s="24"/>
      <c r="D534" s="24"/>
      <c r="E534" s="23"/>
      <c r="F534" t="str">
        <f>IF(E534='Tablas AR'!$B$4,1,IF('Análisis de Riesgos'!E534='Tablas AR'!$B$5,2,IF('Análisis de Riesgos'!E534='Tablas AR'!$B$6,3,"")))</f>
        <v/>
      </c>
      <c r="G534" s="23"/>
      <c r="H534" t="str">
        <f>IF(G534='Tablas AR'!$B$10,1,IF('Análisis de Riesgos'!G534='Tablas AR'!$B$11,2,IF('Análisis de Riesgos'!G534='Tablas AR'!$B$12,3,"")))</f>
        <v/>
      </c>
      <c r="I534" t="str">
        <f t="shared" si="8"/>
        <v/>
      </c>
    </row>
    <row r="535" spans="2:9" x14ac:dyDescent="0.25">
      <c r="B535" s="24" t="str">
        <f>IFERROR(INDEX(Activos!$B$3:$C$11, MATCH(C535,Activos!$B$3:$B$11),2),"")</f>
        <v/>
      </c>
      <c r="C535" s="24"/>
      <c r="D535" s="24"/>
      <c r="E535" s="23"/>
      <c r="F535" t="str">
        <f>IF(E535='Tablas AR'!$B$4,1,IF('Análisis de Riesgos'!E535='Tablas AR'!$B$5,2,IF('Análisis de Riesgos'!E535='Tablas AR'!$B$6,3,"")))</f>
        <v/>
      </c>
      <c r="G535" s="23"/>
      <c r="H535" t="str">
        <f>IF(G535='Tablas AR'!$B$10,1,IF('Análisis de Riesgos'!G535='Tablas AR'!$B$11,2,IF('Análisis de Riesgos'!G535='Tablas AR'!$B$12,3,"")))</f>
        <v/>
      </c>
      <c r="I535" t="str">
        <f t="shared" si="8"/>
        <v/>
      </c>
    </row>
    <row r="536" spans="2:9" x14ac:dyDescent="0.25">
      <c r="B536" s="24" t="str">
        <f>IFERROR(INDEX(Activos!$B$3:$C$11, MATCH(C536,Activos!$B$3:$B$11),2),"")</f>
        <v/>
      </c>
      <c r="C536" s="24"/>
      <c r="D536" s="24"/>
      <c r="E536" s="23"/>
      <c r="F536" t="str">
        <f>IF(E536='Tablas AR'!$B$4,1,IF('Análisis de Riesgos'!E536='Tablas AR'!$B$5,2,IF('Análisis de Riesgos'!E536='Tablas AR'!$B$6,3,"")))</f>
        <v/>
      </c>
      <c r="G536" s="23"/>
      <c r="H536" t="str">
        <f>IF(G536='Tablas AR'!$B$10,1,IF('Análisis de Riesgos'!G536='Tablas AR'!$B$11,2,IF('Análisis de Riesgos'!G536='Tablas AR'!$B$12,3,"")))</f>
        <v/>
      </c>
      <c r="I536" t="str">
        <f t="shared" si="8"/>
        <v/>
      </c>
    </row>
    <row r="537" spans="2:9" x14ac:dyDescent="0.25">
      <c r="B537" s="24" t="str">
        <f>IFERROR(INDEX(Activos!$B$3:$C$11, MATCH(C537,Activos!$B$3:$B$11),2),"")</f>
        <v/>
      </c>
      <c r="C537" s="24"/>
      <c r="D537" s="24"/>
      <c r="E537" s="23"/>
      <c r="F537" t="str">
        <f>IF(E537='Tablas AR'!$B$4,1,IF('Análisis de Riesgos'!E537='Tablas AR'!$B$5,2,IF('Análisis de Riesgos'!E537='Tablas AR'!$B$6,3,"")))</f>
        <v/>
      </c>
      <c r="G537" s="23"/>
      <c r="H537" t="str">
        <f>IF(G537='Tablas AR'!$B$10,1,IF('Análisis de Riesgos'!G537='Tablas AR'!$B$11,2,IF('Análisis de Riesgos'!G537='Tablas AR'!$B$12,3,"")))</f>
        <v/>
      </c>
      <c r="I537" t="str">
        <f t="shared" si="8"/>
        <v/>
      </c>
    </row>
    <row r="538" spans="2:9" x14ac:dyDescent="0.25">
      <c r="B538" s="24" t="str">
        <f>IFERROR(INDEX(Activos!$B$3:$C$11, MATCH(C538,Activos!$B$3:$B$11),2),"")</f>
        <v/>
      </c>
      <c r="C538" s="24"/>
      <c r="D538" s="24"/>
      <c r="E538" s="23"/>
      <c r="F538" t="str">
        <f>IF(E538='Tablas AR'!$B$4,1,IF('Análisis de Riesgos'!E538='Tablas AR'!$B$5,2,IF('Análisis de Riesgos'!E538='Tablas AR'!$B$6,3,"")))</f>
        <v/>
      </c>
      <c r="G538" s="23"/>
      <c r="H538" t="str">
        <f>IF(G538='Tablas AR'!$B$10,1,IF('Análisis de Riesgos'!G538='Tablas AR'!$B$11,2,IF('Análisis de Riesgos'!G538='Tablas AR'!$B$12,3,"")))</f>
        <v/>
      </c>
      <c r="I538" t="str">
        <f t="shared" si="8"/>
        <v/>
      </c>
    </row>
    <row r="539" spans="2:9" x14ac:dyDescent="0.25">
      <c r="B539" s="24" t="str">
        <f>IFERROR(INDEX(Activos!$B$3:$C$11, MATCH(C539,Activos!$B$3:$B$11),2),"")</f>
        <v/>
      </c>
      <c r="C539" s="24"/>
      <c r="D539" s="24"/>
      <c r="E539" s="23"/>
      <c r="F539" t="str">
        <f>IF(E539='Tablas AR'!$B$4,1,IF('Análisis de Riesgos'!E539='Tablas AR'!$B$5,2,IF('Análisis de Riesgos'!E539='Tablas AR'!$B$6,3,"")))</f>
        <v/>
      </c>
      <c r="G539" s="23"/>
      <c r="H539" t="str">
        <f>IF(G539='Tablas AR'!$B$10,1,IF('Análisis de Riesgos'!G539='Tablas AR'!$B$11,2,IF('Análisis de Riesgos'!G539='Tablas AR'!$B$12,3,"")))</f>
        <v/>
      </c>
      <c r="I539" t="str">
        <f t="shared" si="8"/>
        <v/>
      </c>
    </row>
    <row r="540" spans="2:9" x14ac:dyDescent="0.25">
      <c r="B540" s="24" t="str">
        <f>IFERROR(INDEX(Activos!$B$3:$C$11, MATCH(C540,Activos!$B$3:$B$11),2),"")</f>
        <v/>
      </c>
      <c r="C540" s="24"/>
      <c r="D540" s="24"/>
      <c r="E540" s="23"/>
      <c r="F540" t="str">
        <f>IF(E540='Tablas AR'!$B$4,1,IF('Análisis de Riesgos'!E540='Tablas AR'!$B$5,2,IF('Análisis de Riesgos'!E540='Tablas AR'!$B$6,3,"")))</f>
        <v/>
      </c>
      <c r="G540" s="23"/>
      <c r="H540" t="str">
        <f>IF(G540='Tablas AR'!$B$10,1,IF('Análisis de Riesgos'!G540='Tablas AR'!$B$11,2,IF('Análisis de Riesgos'!G540='Tablas AR'!$B$12,3,"")))</f>
        <v/>
      </c>
      <c r="I540" t="str">
        <f t="shared" si="8"/>
        <v/>
      </c>
    </row>
    <row r="541" spans="2:9" x14ac:dyDescent="0.25">
      <c r="B541" s="24" t="str">
        <f>IFERROR(INDEX(Activos!$B$3:$C$11, MATCH(C541,Activos!$B$3:$B$11),2),"")</f>
        <v/>
      </c>
      <c r="C541" s="24"/>
      <c r="D541" s="24"/>
      <c r="E541" s="23"/>
      <c r="F541" t="str">
        <f>IF(E541='Tablas AR'!$B$4,1,IF('Análisis de Riesgos'!E541='Tablas AR'!$B$5,2,IF('Análisis de Riesgos'!E541='Tablas AR'!$B$6,3,"")))</f>
        <v/>
      </c>
      <c r="G541" s="23"/>
      <c r="H541" t="str">
        <f>IF(G541='Tablas AR'!$B$10,1,IF('Análisis de Riesgos'!G541='Tablas AR'!$B$11,2,IF('Análisis de Riesgos'!G541='Tablas AR'!$B$12,3,"")))</f>
        <v/>
      </c>
      <c r="I541" t="str">
        <f t="shared" si="8"/>
        <v/>
      </c>
    </row>
    <row r="542" spans="2:9" x14ac:dyDescent="0.25">
      <c r="B542" s="24" t="str">
        <f>IFERROR(INDEX(Activos!$B$3:$C$11, MATCH(C542,Activos!$B$3:$B$11),2),"")</f>
        <v/>
      </c>
      <c r="C542" s="24"/>
      <c r="D542" s="24"/>
      <c r="E542" s="23"/>
      <c r="F542" t="str">
        <f>IF(E542='Tablas AR'!$B$4,1,IF('Análisis de Riesgos'!E542='Tablas AR'!$B$5,2,IF('Análisis de Riesgos'!E542='Tablas AR'!$B$6,3,"")))</f>
        <v/>
      </c>
      <c r="G542" s="23"/>
      <c r="H542" t="str">
        <f>IF(G542='Tablas AR'!$B$10,1,IF('Análisis de Riesgos'!G542='Tablas AR'!$B$11,2,IF('Análisis de Riesgos'!G542='Tablas AR'!$B$12,3,"")))</f>
        <v/>
      </c>
      <c r="I542" t="str">
        <f t="shared" si="8"/>
        <v/>
      </c>
    </row>
    <row r="543" spans="2:9" x14ac:dyDescent="0.25">
      <c r="B543" s="24" t="str">
        <f>IFERROR(INDEX(Activos!$B$3:$C$11, MATCH(C543,Activos!$B$3:$B$11),2),"")</f>
        <v/>
      </c>
      <c r="C543" s="24"/>
      <c r="D543" s="24"/>
      <c r="E543" s="23"/>
      <c r="F543" t="str">
        <f>IF(E543='Tablas AR'!$B$4,1,IF('Análisis de Riesgos'!E543='Tablas AR'!$B$5,2,IF('Análisis de Riesgos'!E543='Tablas AR'!$B$6,3,"")))</f>
        <v/>
      </c>
      <c r="G543" s="23"/>
      <c r="H543" t="str">
        <f>IF(G543='Tablas AR'!$B$10,1,IF('Análisis de Riesgos'!G543='Tablas AR'!$B$11,2,IF('Análisis de Riesgos'!G543='Tablas AR'!$B$12,3,"")))</f>
        <v/>
      </c>
      <c r="I543" t="str">
        <f t="shared" si="8"/>
        <v/>
      </c>
    </row>
    <row r="544" spans="2:9" x14ac:dyDescent="0.25">
      <c r="B544" s="24" t="str">
        <f>IFERROR(INDEX(Activos!$B$3:$C$11, MATCH(C544,Activos!$B$3:$B$11),2),"")</f>
        <v/>
      </c>
      <c r="C544" s="24"/>
      <c r="D544" s="24"/>
      <c r="E544" s="23"/>
      <c r="F544" t="str">
        <f>IF(E544='Tablas AR'!$B$4,1,IF('Análisis de Riesgos'!E544='Tablas AR'!$B$5,2,IF('Análisis de Riesgos'!E544='Tablas AR'!$B$6,3,"")))</f>
        <v/>
      </c>
      <c r="G544" s="23"/>
      <c r="H544" t="str">
        <f>IF(G544='Tablas AR'!$B$10,1,IF('Análisis de Riesgos'!G544='Tablas AR'!$B$11,2,IF('Análisis de Riesgos'!G544='Tablas AR'!$B$12,3,"")))</f>
        <v/>
      </c>
      <c r="I544" t="str">
        <f t="shared" si="8"/>
        <v/>
      </c>
    </row>
    <row r="545" spans="2:9" x14ac:dyDescent="0.25">
      <c r="B545" s="24" t="str">
        <f>IFERROR(INDEX(Activos!$B$3:$C$11, MATCH(C545,Activos!$B$3:$B$11),2),"")</f>
        <v/>
      </c>
      <c r="C545" s="24"/>
      <c r="D545" s="24"/>
      <c r="E545" s="23"/>
      <c r="F545" t="str">
        <f>IF(E545='Tablas AR'!$B$4,1,IF('Análisis de Riesgos'!E545='Tablas AR'!$B$5,2,IF('Análisis de Riesgos'!E545='Tablas AR'!$B$6,3,"")))</f>
        <v/>
      </c>
      <c r="G545" s="23"/>
      <c r="H545" t="str">
        <f>IF(G545='Tablas AR'!$B$10,1,IF('Análisis de Riesgos'!G545='Tablas AR'!$B$11,2,IF('Análisis de Riesgos'!G545='Tablas AR'!$B$12,3,"")))</f>
        <v/>
      </c>
      <c r="I545" t="str">
        <f t="shared" si="8"/>
        <v/>
      </c>
    </row>
    <row r="546" spans="2:9" x14ac:dyDescent="0.25">
      <c r="B546" s="24" t="str">
        <f>IFERROR(INDEX(Activos!$B$3:$C$11, MATCH(C546,Activos!$B$3:$B$11),2),"")</f>
        <v/>
      </c>
      <c r="C546" s="24"/>
      <c r="D546" s="24"/>
      <c r="E546" s="23"/>
      <c r="F546" t="str">
        <f>IF(E546='Tablas AR'!$B$4,1,IF('Análisis de Riesgos'!E546='Tablas AR'!$B$5,2,IF('Análisis de Riesgos'!E546='Tablas AR'!$B$6,3,"")))</f>
        <v/>
      </c>
      <c r="G546" s="23"/>
      <c r="H546" t="str">
        <f>IF(G546='Tablas AR'!$B$10,1,IF('Análisis de Riesgos'!G546='Tablas AR'!$B$11,2,IF('Análisis de Riesgos'!G546='Tablas AR'!$B$12,3,"")))</f>
        <v/>
      </c>
      <c r="I546" t="str">
        <f t="shared" si="8"/>
        <v/>
      </c>
    </row>
    <row r="547" spans="2:9" x14ac:dyDescent="0.25">
      <c r="B547" s="24" t="str">
        <f>IFERROR(INDEX(Activos!$B$3:$C$11, MATCH(C547,Activos!$B$3:$B$11),2),"")</f>
        <v/>
      </c>
      <c r="C547" s="24"/>
      <c r="D547" s="24"/>
      <c r="E547" s="23"/>
      <c r="F547" t="str">
        <f>IF(E547='Tablas AR'!$B$4,1,IF('Análisis de Riesgos'!E547='Tablas AR'!$B$5,2,IF('Análisis de Riesgos'!E547='Tablas AR'!$B$6,3,"")))</f>
        <v/>
      </c>
      <c r="G547" s="23"/>
      <c r="H547" t="str">
        <f>IF(G547='Tablas AR'!$B$10,1,IF('Análisis de Riesgos'!G547='Tablas AR'!$B$11,2,IF('Análisis de Riesgos'!G547='Tablas AR'!$B$12,3,"")))</f>
        <v/>
      </c>
      <c r="I547" t="str">
        <f t="shared" si="8"/>
        <v/>
      </c>
    </row>
    <row r="548" spans="2:9" x14ac:dyDescent="0.25">
      <c r="B548" s="24" t="str">
        <f>IFERROR(INDEX(Activos!$B$3:$C$11, MATCH(C548,Activos!$B$3:$B$11),2),"")</f>
        <v/>
      </c>
      <c r="C548" s="24"/>
      <c r="D548" s="24"/>
      <c r="E548" s="23"/>
      <c r="F548" t="str">
        <f>IF(E548='Tablas AR'!$B$4,1,IF('Análisis de Riesgos'!E548='Tablas AR'!$B$5,2,IF('Análisis de Riesgos'!E548='Tablas AR'!$B$6,3,"")))</f>
        <v/>
      </c>
      <c r="G548" s="23"/>
      <c r="H548" t="str">
        <f>IF(G548='Tablas AR'!$B$10,1,IF('Análisis de Riesgos'!G548='Tablas AR'!$B$11,2,IF('Análisis de Riesgos'!G548='Tablas AR'!$B$12,3,"")))</f>
        <v/>
      </c>
      <c r="I548" t="str">
        <f t="shared" si="8"/>
        <v/>
      </c>
    </row>
    <row r="549" spans="2:9" x14ac:dyDescent="0.25">
      <c r="B549" s="24" t="str">
        <f>IFERROR(INDEX(Activos!$B$3:$C$11, MATCH(C549,Activos!$B$3:$B$11),2),"")</f>
        <v/>
      </c>
      <c r="C549" s="24"/>
      <c r="D549" s="24"/>
      <c r="E549" s="23"/>
      <c r="F549" t="str">
        <f>IF(E549='Tablas AR'!$B$4,1,IF('Análisis de Riesgos'!E549='Tablas AR'!$B$5,2,IF('Análisis de Riesgos'!E549='Tablas AR'!$B$6,3,"")))</f>
        <v/>
      </c>
      <c r="G549" s="23"/>
      <c r="H549" t="str">
        <f>IF(G549='Tablas AR'!$B$10,1,IF('Análisis de Riesgos'!G549='Tablas AR'!$B$11,2,IF('Análisis de Riesgos'!G549='Tablas AR'!$B$12,3,"")))</f>
        <v/>
      </c>
      <c r="I549" t="str">
        <f t="shared" si="8"/>
        <v/>
      </c>
    </row>
    <row r="550" spans="2:9" x14ac:dyDescent="0.25">
      <c r="B550" s="24" t="str">
        <f>IFERROR(INDEX(Activos!$B$3:$C$11, MATCH(C550,Activos!$B$3:$B$11),2),"")</f>
        <v/>
      </c>
      <c r="C550" s="24"/>
      <c r="D550" s="24"/>
      <c r="E550" s="23"/>
      <c r="F550" t="str">
        <f>IF(E550='Tablas AR'!$B$4,1,IF('Análisis de Riesgos'!E550='Tablas AR'!$B$5,2,IF('Análisis de Riesgos'!E550='Tablas AR'!$B$6,3,"")))</f>
        <v/>
      </c>
      <c r="G550" s="23"/>
      <c r="H550" t="str">
        <f>IF(G550='Tablas AR'!$B$10,1,IF('Análisis de Riesgos'!G550='Tablas AR'!$B$11,2,IF('Análisis de Riesgos'!G550='Tablas AR'!$B$12,3,"")))</f>
        <v/>
      </c>
      <c r="I550" t="str">
        <f t="shared" si="8"/>
        <v/>
      </c>
    </row>
    <row r="551" spans="2:9" x14ac:dyDescent="0.25">
      <c r="B551" s="24" t="str">
        <f>IFERROR(INDEX(Activos!$B$3:$C$11, MATCH(C551,Activos!$B$3:$B$11),2),"")</f>
        <v/>
      </c>
      <c r="C551" s="24"/>
      <c r="D551" s="24"/>
      <c r="E551" s="23"/>
      <c r="F551" t="str">
        <f>IF(E551='Tablas AR'!$B$4,1,IF('Análisis de Riesgos'!E551='Tablas AR'!$B$5,2,IF('Análisis de Riesgos'!E551='Tablas AR'!$B$6,3,"")))</f>
        <v/>
      </c>
      <c r="G551" s="23"/>
      <c r="H551" t="str">
        <f>IF(G551='Tablas AR'!$B$10,1,IF('Análisis de Riesgos'!G551='Tablas AR'!$B$11,2,IF('Análisis de Riesgos'!G551='Tablas AR'!$B$12,3,"")))</f>
        <v/>
      </c>
      <c r="I551" t="str">
        <f t="shared" si="8"/>
        <v/>
      </c>
    </row>
    <row r="552" spans="2:9" x14ac:dyDescent="0.25">
      <c r="B552" s="24" t="str">
        <f>IFERROR(INDEX(Activos!$B$3:$C$11, MATCH(C552,Activos!$B$3:$B$11),2),"")</f>
        <v/>
      </c>
      <c r="C552" s="24"/>
      <c r="D552" s="24"/>
      <c r="E552" s="23"/>
      <c r="F552" t="str">
        <f>IF(E552='Tablas AR'!$B$4,1,IF('Análisis de Riesgos'!E552='Tablas AR'!$B$5,2,IF('Análisis de Riesgos'!E552='Tablas AR'!$B$6,3,"")))</f>
        <v/>
      </c>
      <c r="G552" s="23"/>
      <c r="H552" t="str">
        <f>IF(G552='Tablas AR'!$B$10,1,IF('Análisis de Riesgos'!G552='Tablas AR'!$B$11,2,IF('Análisis de Riesgos'!G552='Tablas AR'!$B$12,3,"")))</f>
        <v/>
      </c>
      <c r="I552" t="str">
        <f t="shared" si="8"/>
        <v/>
      </c>
    </row>
    <row r="553" spans="2:9" x14ac:dyDescent="0.25">
      <c r="B553" s="24" t="str">
        <f>IFERROR(INDEX(Activos!$B$3:$C$11, MATCH(C553,Activos!$B$3:$B$11),2),"")</f>
        <v/>
      </c>
      <c r="C553" s="24"/>
      <c r="D553" s="24"/>
      <c r="E553" s="23"/>
      <c r="F553" t="str">
        <f>IF(E553='Tablas AR'!$B$4,1,IF('Análisis de Riesgos'!E553='Tablas AR'!$B$5,2,IF('Análisis de Riesgos'!E553='Tablas AR'!$B$6,3,"")))</f>
        <v/>
      </c>
      <c r="G553" s="23"/>
      <c r="H553" t="str">
        <f>IF(G553='Tablas AR'!$B$10,1,IF('Análisis de Riesgos'!G553='Tablas AR'!$B$11,2,IF('Análisis de Riesgos'!G553='Tablas AR'!$B$12,3,"")))</f>
        <v/>
      </c>
      <c r="I553" t="str">
        <f t="shared" si="8"/>
        <v/>
      </c>
    </row>
    <row r="554" spans="2:9" x14ac:dyDescent="0.25">
      <c r="B554" s="24" t="str">
        <f>IFERROR(INDEX(Activos!$B$3:$C$11, MATCH(C554,Activos!$B$3:$B$11),2),"")</f>
        <v/>
      </c>
      <c r="C554" s="24"/>
      <c r="D554" s="24"/>
      <c r="E554" s="23"/>
      <c r="F554" t="str">
        <f>IF(E554='Tablas AR'!$B$4,1,IF('Análisis de Riesgos'!E554='Tablas AR'!$B$5,2,IF('Análisis de Riesgos'!E554='Tablas AR'!$B$6,3,"")))</f>
        <v/>
      </c>
      <c r="G554" s="23"/>
      <c r="H554" t="str">
        <f>IF(G554='Tablas AR'!$B$10,1,IF('Análisis de Riesgos'!G554='Tablas AR'!$B$11,2,IF('Análisis de Riesgos'!G554='Tablas AR'!$B$12,3,"")))</f>
        <v/>
      </c>
      <c r="I554" t="str">
        <f t="shared" si="8"/>
        <v/>
      </c>
    </row>
    <row r="555" spans="2:9" x14ac:dyDescent="0.25">
      <c r="B555" s="24" t="str">
        <f>IFERROR(INDEX(Activos!$B$3:$C$11, MATCH(C555,Activos!$B$3:$B$11),2),"")</f>
        <v/>
      </c>
      <c r="C555" s="24"/>
      <c r="D555" s="24"/>
      <c r="E555" s="23"/>
      <c r="F555" t="str">
        <f>IF(E555='Tablas AR'!$B$4,1,IF('Análisis de Riesgos'!E555='Tablas AR'!$B$5,2,IF('Análisis de Riesgos'!E555='Tablas AR'!$B$6,3,"")))</f>
        <v/>
      </c>
      <c r="G555" s="23"/>
      <c r="H555" t="str">
        <f>IF(G555='Tablas AR'!$B$10,1,IF('Análisis de Riesgos'!G555='Tablas AR'!$B$11,2,IF('Análisis de Riesgos'!G555='Tablas AR'!$B$12,3,"")))</f>
        <v/>
      </c>
      <c r="I555" t="str">
        <f t="shared" si="8"/>
        <v/>
      </c>
    </row>
    <row r="556" spans="2:9" x14ac:dyDescent="0.25">
      <c r="B556" s="24" t="str">
        <f>IFERROR(INDEX(Activos!$B$3:$C$11, MATCH(C556,Activos!$B$3:$B$11),2),"")</f>
        <v/>
      </c>
      <c r="C556" s="24"/>
      <c r="D556" s="24"/>
      <c r="E556" s="23"/>
      <c r="F556" t="str">
        <f>IF(E556='Tablas AR'!$B$4,1,IF('Análisis de Riesgos'!E556='Tablas AR'!$B$5,2,IF('Análisis de Riesgos'!E556='Tablas AR'!$B$6,3,"")))</f>
        <v/>
      </c>
      <c r="G556" s="23"/>
      <c r="H556" t="str">
        <f>IF(G556='Tablas AR'!$B$10,1,IF('Análisis de Riesgos'!G556='Tablas AR'!$B$11,2,IF('Análisis de Riesgos'!G556='Tablas AR'!$B$12,3,"")))</f>
        <v/>
      </c>
      <c r="I556" t="str">
        <f t="shared" si="8"/>
        <v/>
      </c>
    </row>
    <row r="557" spans="2:9" x14ac:dyDescent="0.25">
      <c r="B557" s="24" t="str">
        <f>IFERROR(INDEX(Activos!$B$3:$C$11, MATCH(C557,Activos!$B$3:$B$11),2),"")</f>
        <v/>
      </c>
      <c r="C557" s="24"/>
      <c r="D557" s="24"/>
      <c r="E557" s="23"/>
      <c r="F557" t="str">
        <f>IF(E557='Tablas AR'!$B$4,1,IF('Análisis de Riesgos'!E557='Tablas AR'!$B$5,2,IF('Análisis de Riesgos'!E557='Tablas AR'!$B$6,3,"")))</f>
        <v/>
      </c>
      <c r="G557" s="23"/>
      <c r="H557" t="str">
        <f>IF(G557='Tablas AR'!$B$10,1,IF('Análisis de Riesgos'!G557='Tablas AR'!$B$11,2,IF('Análisis de Riesgos'!G557='Tablas AR'!$B$12,3,"")))</f>
        <v/>
      </c>
      <c r="I557" t="str">
        <f t="shared" si="8"/>
        <v/>
      </c>
    </row>
    <row r="558" spans="2:9" x14ac:dyDescent="0.25">
      <c r="B558" s="24" t="str">
        <f>IFERROR(INDEX(Activos!$B$3:$C$11, MATCH(C558,Activos!$B$3:$B$11),2),"")</f>
        <v/>
      </c>
      <c r="C558" s="24"/>
      <c r="D558" s="24"/>
      <c r="E558" s="23"/>
      <c r="F558" t="str">
        <f>IF(E558='Tablas AR'!$B$4,1,IF('Análisis de Riesgos'!E558='Tablas AR'!$B$5,2,IF('Análisis de Riesgos'!E558='Tablas AR'!$B$6,3,"")))</f>
        <v/>
      </c>
      <c r="G558" s="23"/>
      <c r="H558" t="str">
        <f>IF(G558='Tablas AR'!$B$10,1,IF('Análisis de Riesgos'!G558='Tablas AR'!$B$11,2,IF('Análisis de Riesgos'!G558='Tablas AR'!$B$12,3,"")))</f>
        <v/>
      </c>
      <c r="I558" t="str">
        <f t="shared" si="8"/>
        <v/>
      </c>
    </row>
    <row r="559" spans="2:9" x14ac:dyDescent="0.25">
      <c r="B559" s="24" t="str">
        <f>IFERROR(INDEX(Activos!$B$3:$C$11, MATCH(C559,Activos!$B$3:$B$11),2),"")</f>
        <v/>
      </c>
      <c r="C559" s="24"/>
      <c r="D559" s="24"/>
      <c r="E559" s="23"/>
      <c r="F559" t="str">
        <f>IF(E559='Tablas AR'!$B$4,1,IF('Análisis de Riesgos'!E559='Tablas AR'!$B$5,2,IF('Análisis de Riesgos'!E559='Tablas AR'!$B$6,3,"")))</f>
        <v/>
      </c>
      <c r="G559" s="23"/>
      <c r="H559" t="str">
        <f>IF(G559='Tablas AR'!$B$10,1,IF('Análisis de Riesgos'!G559='Tablas AR'!$B$11,2,IF('Análisis de Riesgos'!G559='Tablas AR'!$B$12,3,"")))</f>
        <v/>
      </c>
      <c r="I559" t="str">
        <f t="shared" si="8"/>
        <v/>
      </c>
    </row>
    <row r="560" spans="2:9" x14ac:dyDescent="0.25">
      <c r="B560" s="24" t="str">
        <f>IFERROR(INDEX(Activos!$B$3:$C$11, MATCH(C560,Activos!$B$3:$B$11),2),"")</f>
        <v/>
      </c>
      <c r="C560" s="24"/>
      <c r="D560" s="24"/>
      <c r="E560" s="23"/>
      <c r="F560" t="str">
        <f>IF(E560='Tablas AR'!$B$4,1,IF('Análisis de Riesgos'!E560='Tablas AR'!$B$5,2,IF('Análisis de Riesgos'!E560='Tablas AR'!$B$6,3,"")))</f>
        <v/>
      </c>
      <c r="G560" s="23"/>
      <c r="H560" t="str">
        <f>IF(G560='Tablas AR'!$B$10,1,IF('Análisis de Riesgos'!G560='Tablas AR'!$B$11,2,IF('Análisis de Riesgos'!G560='Tablas AR'!$B$12,3,"")))</f>
        <v/>
      </c>
      <c r="I560" t="str">
        <f t="shared" si="8"/>
        <v/>
      </c>
    </row>
    <row r="561" spans="2:9" x14ac:dyDescent="0.25">
      <c r="B561" s="24" t="str">
        <f>IFERROR(INDEX(Activos!$B$3:$C$11, MATCH(C561,Activos!$B$3:$B$11),2),"")</f>
        <v/>
      </c>
      <c r="C561" s="24"/>
      <c r="D561" s="24"/>
      <c r="E561" s="23"/>
      <c r="F561" t="str">
        <f>IF(E561='Tablas AR'!$B$4,1,IF('Análisis de Riesgos'!E561='Tablas AR'!$B$5,2,IF('Análisis de Riesgos'!E561='Tablas AR'!$B$6,3,"")))</f>
        <v/>
      </c>
      <c r="G561" s="23"/>
      <c r="H561" t="str">
        <f>IF(G561='Tablas AR'!$B$10,1,IF('Análisis de Riesgos'!G561='Tablas AR'!$B$11,2,IF('Análisis de Riesgos'!G561='Tablas AR'!$B$12,3,"")))</f>
        <v/>
      </c>
      <c r="I561" t="str">
        <f t="shared" si="8"/>
        <v/>
      </c>
    </row>
    <row r="562" spans="2:9" x14ac:dyDescent="0.25">
      <c r="B562" s="24" t="str">
        <f>IFERROR(INDEX(Activos!$B$3:$C$11, MATCH(C562,Activos!$B$3:$B$11),2),"")</f>
        <v/>
      </c>
      <c r="C562" s="24"/>
      <c r="D562" s="24"/>
      <c r="E562" s="23"/>
      <c r="F562" t="str">
        <f>IF(E562='Tablas AR'!$B$4,1,IF('Análisis de Riesgos'!E562='Tablas AR'!$B$5,2,IF('Análisis de Riesgos'!E562='Tablas AR'!$B$6,3,"")))</f>
        <v/>
      </c>
      <c r="G562" s="23"/>
      <c r="H562" t="str">
        <f>IF(G562='Tablas AR'!$B$10,1,IF('Análisis de Riesgos'!G562='Tablas AR'!$B$11,2,IF('Análisis de Riesgos'!G562='Tablas AR'!$B$12,3,"")))</f>
        <v/>
      </c>
      <c r="I562" t="str">
        <f t="shared" si="8"/>
        <v/>
      </c>
    </row>
    <row r="563" spans="2:9" x14ac:dyDescent="0.25">
      <c r="B563" s="24" t="str">
        <f>IFERROR(INDEX(Activos!$B$3:$C$11, MATCH(C563,Activos!$B$3:$B$11),2),"")</f>
        <v/>
      </c>
      <c r="C563" s="24"/>
      <c r="D563" s="24"/>
      <c r="E563" s="23"/>
      <c r="F563" t="str">
        <f>IF(E563='Tablas AR'!$B$4,1,IF('Análisis de Riesgos'!E563='Tablas AR'!$B$5,2,IF('Análisis de Riesgos'!E563='Tablas AR'!$B$6,3,"")))</f>
        <v/>
      </c>
      <c r="G563" s="23"/>
      <c r="H563" t="str">
        <f>IF(G563='Tablas AR'!$B$10,1,IF('Análisis de Riesgos'!G563='Tablas AR'!$B$11,2,IF('Análisis de Riesgos'!G563='Tablas AR'!$B$12,3,"")))</f>
        <v/>
      </c>
      <c r="I563" t="str">
        <f t="shared" si="8"/>
        <v/>
      </c>
    </row>
    <row r="564" spans="2:9" x14ac:dyDescent="0.25">
      <c r="B564" s="24" t="str">
        <f>IFERROR(INDEX(Activos!$B$3:$C$11, MATCH(C564,Activos!$B$3:$B$11),2),"")</f>
        <v/>
      </c>
      <c r="C564" s="24"/>
      <c r="D564" s="24"/>
      <c r="E564" s="23"/>
      <c r="F564" t="str">
        <f>IF(E564='Tablas AR'!$B$4,1,IF('Análisis de Riesgos'!E564='Tablas AR'!$B$5,2,IF('Análisis de Riesgos'!E564='Tablas AR'!$B$6,3,"")))</f>
        <v/>
      </c>
      <c r="G564" s="23"/>
      <c r="H564" t="str">
        <f>IF(G564='Tablas AR'!$B$10,1,IF('Análisis de Riesgos'!G564='Tablas AR'!$B$11,2,IF('Análisis de Riesgos'!G564='Tablas AR'!$B$12,3,"")))</f>
        <v/>
      </c>
      <c r="I564" t="str">
        <f t="shared" si="8"/>
        <v/>
      </c>
    </row>
    <row r="565" spans="2:9" x14ac:dyDescent="0.25">
      <c r="B565" s="24" t="str">
        <f>IFERROR(INDEX(Activos!$B$3:$C$11, MATCH(C565,Activos!$B$3:$B$11),2),"")</f>
        <v/>
      </c>
      <c r="C565" s="24"/>
      <c r="D565" s="24"/>
      <c r="E565" s="23"/>
      <c r="F565" t="str">
        <f>IF(E565='Tablas AR'!$B$4,1,IF('Análisis de Riesgos'!E565='Tablas AR'!$B$5,2,IF('Análisis de Riesgos'!E565='Tablas AR'!$B$6,3,"")))</f>
        <v/>
      </c>
      <c r="G565" s="23"/>
      <c r="H565" t="str">
        <f>IF(G565='Tablas AR'!$B$10,1,IF('Análisis de Riesgos'!G565='Tablas AR'!$B$11,2,IF('Análisis de Riesgos'!G565='Tablas AR'!$B$12,3,"")))</f>
        <v/>
      </c>
      <c r="I565" t="str">
        <f t="shared" si="8"/>
        <v/>
      </c>
    </row>
    <row r="566" spans="2:9" x14ac:dyDescent="0.25">
      <c r="B566" s="24" t="str">
        <f>IFERROR(INDEX(Activos!$B$3:$C$11, MATCH(C566,Activos!$B$3:$B$11),2),"")</f>
        <v/>
      </c>
      <c r="C566" s="24"/>
      <c r="D566" s="24"/>
      <c r="E566" s="23"/>
      <c r="F566" t="str">
        <f>IF(E566='Tablas AR'!$B$4,1,IF('Análisis de Riesgos'!E566='Tablas AR'!$B$5,2,IF('Análisis de Riesgos'!E566='Tablas AR'!$B$6,3,"")))</f>
        <v/>
      </c>
      <c r="G566" s="23"/>
      <c r="H566" t="str">
        <f>IF(G566='Tablas AR'!$B$10,1,IF('Análisis de Riesgos'!G566='Tablas AR'!$B$11,2,IF('Análisis de Riesgos'!G566='Tablas AR'!$B$12,3,"")))</f>
        <v/>
      </c>
      <c r="I566" t="str">
        <f t="shared" si="8"/>
        <v/>
      </c>
    </row>
    <row r="567" spans="2:9" x14ac:dyDescent="0.25">
      <c r="B567" s="24" t="str">
        <f>IFERROR(INDEX(Activos!$B$3:$C$11, MATCH(C567,Activos!$B$3:$B$11),2),"")</f>
        <v/>
      </c>
      <c r="C567" s="24"/>
      <c r="D567" s="24"/>
      <c r="E567" s="23"/>
      <c r="F567" t="str">
        <f>IF(E567='Tablas AR'!$B$4,1,IF('Análisis de Riesgos'!E567='Tablas AR'!$B$5,2,IF('Análisis de Riesgos'!E567='Tablas AR'!$B$6,3,"")))</f>
        <v/>
      </c>
      <c r="G567" s="23"/>
      <c r="H567" t="str">
        <f>IF(G567='Tablas AR'!$B$10,1,IF('Análisis de Riesgos'!G567='Tablas AR'!$B$11,2,IF('Análisis de Riesgos'!G567='Tablas AR'!$B$12,3,"")))</f>
        <v/>
      </c>
      <c r="I567" t="str">
        <f t="shared" si="8"/>
        <v/>
      </c>
    </row>
    <row r="568" spans="2:9" x14ac:dyDescent="0.25">
      <c r="B568" s="24" t="str">
        <f>IFERROR(INDEX(Activos!$B$3:$C$11, MATCH(C568,Activos!$B$3:$B$11),2),"")</f>
        <v/>
      </c>
      <c r="C568" s="24"/>
      <c r="D568" s="24"/>
      <c r="E568" s="23"/>
      <c r="F568" t="str">
        <f>IF(E568='Tablas AR'!$B$4,1,IF('Análisis de Riesgos'!E568='Tablas AR'!$B$5,2,IF('Análisis de Riesgos'!E568='Tablas AR'!$B$6,3,"")))</f>
        <v/>
      </c>
      <c r="G568" s="23"/>
      <c r="H568" t="str">
        <f>IF(G568='Tablas AR'!$B$10,1,IF('Análisis de Riesgos'!G568='Tablas AR'!$B$11,2,IF('Análisis de Riesgos'!G568='Tablas AR'!$B$12,3,"")))</f>
        <v/>
      </c>
      <c r="I568" t="str">
        <f t="shared" si="8"/>
        <v/>
      </c>
    </row>
    <row r="569" spans="2:9" x14ac:dyDescent="0.25">
      <c r="B569" s="24" t="str">
        <f>IFERROR(INDEX(Activos!$B$3:$C$11, MATCH(C569,Activos!$B$3:$B$11),2),"")</f>
        <v/>
      </c>
      <c r="C569" s="24"/>
      <c r="D569" s="24"/>
      <c r="E569" s="23"/>
      <c r="F569" t="str">
        <f>IF(E569='Tablas AR'!$B$4,1,IF('Análisis de Riesgos'!E569='Tablas AR'!$B$5,2,IF('Análisis de Riesgos'!E569='Tablas AR'!$B$6,3,"")))</f>
        <v/>
      </c>
      <c r="G569" s="23"/>
      <c r="H569" t="str">
        <f>IF(G569='Tablas AR'!$B$10,1,IF('Análisis de Riesgos'!G569='Tablas AR'!$B$11,2,IF('Análisis de Riesgos'!G569='Tablas AR'!$B$12,3,"")))</f>
        <v/>
      </c>
      <c r="I569" t="str">
        <f t="shared" si="8"/>
        <v/>
      </c>
    </row>
    <row r="570" spans="2:9" x14ac:dyDescent="0.25">
      <c r="B570" s="24" t="str">
        <f>IFERROR(INDEX(Activos!$B$3:$C$11, MATCH(C570,Activos!$B$3:$B$11),2),"")</f>
        <v/>
      </c>
      <c r="C570" s="24"/>
      <c r="D570" s="24"/>
      <c r="E570" s="23"/>
      <c r="F570" t="str">
        <f>IF(E570='Tablas AR'!$B$4,1,IF('Análisis de Riesgos'!E570='Tablas AR'!$B$5,2,IF('Análisis de Riesgos'!E570='Tablas AR'!$B$6,3,"")))</f>
        <v/>
      </c>
      <c r="G570" s="23"/>
      <c r="H570" t="str">
        <f>IF(G570='Tablas AR'!$B$10,1,IF('Análisis de Riesgos'!G570='Tablas AR'!$B$11,2,IF('Análisis de Riesgos'!G570='Tablas AR'!$B$12,3,"")))</f>
        <v/>
      </c>
      <c r="I570" t="str">
        <f t="shared" si="8"/>
        <v/>
      </c>
    </row>
    <row r="571" spans="2:9" x14ac:dyDescent="0.25">
      <c r="B571" s="24" t="str">
        <f>IFERROR(INDEX(Activos!$B$3:$C$11, MATCH(C571,Activos!$B$3:$B$11),2),"")</f>
        <v/>
      </c>
      <c r="C571" s="24"/>
      <c r="D571" s="24"/>
      <c r="E571" s="23"/>
      <c r="F571" t="str">
        <f>IF(E571='Tablas AR'!$B$4,1,IF('Análisis de Riesgos'!E571='Tablas AR'!$B$5,2,IF('Análisis de Riesgos'!E571='Tablas AR'!$B$6,3,"")))</f>
        <v/>
      </c>
      <c r="G571" s="23"/>
      <c r="H571" t="str">
        <f>IF(G571='Tablas AR'!$B$10,1,IF('Análisis de Riesgos'!G571='Tablas AR'!$B$11,2,IF('Análisis de Riesgos'!G571='Tablas AR'!$B$12,3,"")))</f>
        <v/>
      </c>
      <c r="I571" t="str">
        <f t="shared" si="8"/>
        <v/>
      </c>
    </row>
    <row r="572" spans="2:9" x14ac:dyDescent="0.25">
      <c r="B572" s="24" t="str">
        <f>IFERROR(INDEX(Activos!$B$3:$C$11, MATCH(C572,Activos!$B$3:$B$11),2),"")</f>
        <v/>
      </c>
      <c r="C572" s="24"/>
      <c r="D572" s="24"/>
      <c r="E572" s="23"/>
      <c r="F572" t="str">
        <f>IF(E572='Tablas AR'!$B$4,1,IF('Análisis de Riesgos'!E572='Tablas AR'!$B$5,2,IF('Análisis de Riesgos'!E572='Tablas AR'!$B$6,3,"")))</f>
        <v/>
      </c>
      <c r="G572" s="23"/>
      <c r="H572" t="str">
        <f>IF(G572='Tablas AR'!$B$10,1,IF('Análisis de Riesgos'!G572='Tablas AR'!$B$11,2,IF('Análisis de Riesgos'!G572='Tablas AR'!$B$12,3,"")))</f>
        <v/>
      </c>
      <c r="I572" t="str">
        <f t="shared" si="8"/>
        <v/>
      </c>
    </row>
    <row r="573" spans="2:9" x14ac:dyDescent="0.25">
      <c r="B573" s="24" t="str">
        <f>IFERROR(INDEX(Activos!$B$3:$C$11, MATCH(C573,Activos!$B$3:$B$11),2),"")</f>
        <v/>
      </c>
      <c r="C573" s="24"/>
      <c r="D573" s="24"/>
      <c r="E573" s="23"/>
      <c r="F573" t="str">
        <f>IF(E573='Tablas AR'!$B$4,1,IF('Análisis de Riesgos'!E573='Tablas AR'!$B$5,2,IF('Análisis de Riesgos'!E573='Tablas AR'!$B$6,3,"")))</f>
        <v/>
      </c>
      <c r="G573" s="23"/>
      <c r="H573" t="str">
        <f>IF(G573='Tablas AR'!$B$10,1,IF('Análisis de Riesgos'!G573='Tablas AR'!$B$11,2,IF('Análisis de Riesgos'!G573='Tablas AR'!$B$12,3,"")))</f>
        <v/>
      </c>
      <c r="I573" t="str">
        <f t="shared" si="8"/>
        <v/>
      </c>
    </row>
    <row r="574" spans="2:9" x14ac:dyDescent="0.25">
      <c r="B574" s="24" t="str">
        <f>IFERROR(INDEX(Activos!$B$3:$C$11, MATCH(C574,Activos!$B$3:$B$11),2),"")</f>
        <v/>
      </c>
      <c r="C574" s="24"/>
      <c r="D574" s="24"/>
      <c r="E574" s="23"/>
      <c r="F574" t="str">
        <f>IF(E574='Tablas AR'!$B$4,1,IF('Análisis de Riesgos'!E574='Tablas AR'!$B$5,2,IF('Análisis de Riesgos'!E574='Tablas AR'!$B$6,3,"")))</f>
        <v/>
      </c>
      <c r="G574" s="23"/>
      <c r="H574" t="str">
        <f>IF(G574='Tablas AR'!$B$10,1,IF('Análisis de Riesgos'!G574='Tablas AR'!$B$11,2,IF('Análisis de Riesgos'!G574='Tablas AR'!$B$12,3,"")))</f>
        <v/>
      </c>
      <c r="I574" t="str">
        <f t="shared" si="8"/>
        <v/>
      </c>
    </row>
    <row r="575" spans="2:9" x14ac:dyDescent="0.25">
      <c r="B575" s="24" t="str">
        <f>IFERROR(INDEX(Activos!$B$3:$C$11, MATCH(C575,Activos!$B$3:$B$11),2),"")</f>
        <v/>
      </c>
      <c r="C575" s="24"/>
      <c r="D575" s="24"/>
      <c r="E575" s="23"/>
      <c r="F575" t="str">
        <f>IF(E575='Tablas AR'!$B$4,1,IF('Análisis de Riesgos'!E575='Tablas AR'!$B$5,2,IF('Análisis de Riesgos'!E575='Tablas AR'!$B$6,3,"")))</f>
        <v/>
      </c>
      <c r="G575" s="23"/>
      <c r="H575" t="str">
        <f>IF(G575='Tablas AR'!$B$10,1,IF('Análisis de Riesgos'!G575='Tablas AR'!$B$11,2,IF('Análisis de Riesgos'!G575='Tablas AR'!$B$12,3,"")))</f>
        <v/>
      </c>
      <c r="I575" t="str">
        <f t="shared" si="8"/>
        <v/>
      </c>
    </row>
    <row r="576" spans="2:9" x14ac:dyDescent="0.25">
      <c r="B576" s="24" t="str">
        <f>IFERROR(INDEX(Activos!$B$3:$C$11, MATCH(C576,Activos!$B$3:$B$11),2),"")</f>
        <v/>
      </c>
      <c r="C576" s="24"/>
      <c r="D576" s="24"/>
      <c r="E576" s="23"/>
      <c r="F576" t="str">
        <f>IF(E576='Tablas AR'!$B$4,1,IF('Análisis de Riesgos'!E576='Tablas AR'!$B$5,2,IF('Análisis de Riesgos'!E576='Tablas AR'!$B$6,3,"")))</f>
        <v/>
      </c>
      <c r="G576" s="23"/>
      <c r="H576" t="str">
        <f>IF(G576='Tablas AR'!$B$10,1,IF('Análisis de Riesgos'!G576='Tablas AR'!$B$11,2,IF('Análisis de Riesgos'!G576='Tablas AR'!$B$12,3,"")))</f>
        <v/>
      </c>
      <c r="I576" t="str">
        <f t="shared" si="8"/>
        <v/>
      </c>
    </row>
    <row r="577" spans="2:9" x14ac:dyDescent="0.25">
      <c r="B577" s="24" t="str">
        <f>IFERROR(INDEX(Activos!$B$3:$C$11, MATCH(C577,Activos!$B$3:$B$11),2),"")</f>
        <v/>
      </c>
      <c r="C577" s="24"/>
      <c r="D577" s="24"/>
      <c r="E577" s="23"/>
      <c r="F577" t="str">
        <f>IF(E577='Tablas AR'!$B$4,1,IF('Análisis de Riesgos'!E577='Tablas AR'!$B$5,2,IF('Análisis de Riesgos'!E577='Tablas AR'!$B$6,3,"")))</f>
        <v/>
      </c>
      <c r="G577" s="23"/>
      <c r="H577" t="str">
        <f>IF(G577='Tablas AR'!$B$10,1,IF('Análisis de Riesgos'!G577='Tablas AR'!$B$11,2,IF('Análisis de Riesgos'!G577='Tablas AR'!$B$12,3,"")))</f>
        <v/>
      </c>
      <c r="I577" t="str">
        <f t="shared" si="8"/>
        <v/>
      </c>
    </row>
    <row r="578" spans="2:9" x14ac:dyDescent="0.25">
      <c r="B578" s="24" t="str">
        <f>IFERROR(INDEX(Activos!$B$3:$C$11, MATCH(C578,Activos!$B$3:$B$11),2),"")</f>
        <v/>
      </c>
      <c r="C578" s="24"/>
      <c r="D578" s="24"/>
      <c r="E578" s="23"/>
      <c r="F578" t="str">
        <f>IF(E578='Tablas AR'!$B$4,1,IF('Análisis de Riesgos'!E578='Tablas AR'!$B$5,2,IF('Análisis de Riesgos'!E578='Tablas AR'!$B$6,3,"")))</f>
        <v/>
      </c>
      <c r="G578" s="23"/>
      <c r="H578" t="str">
        <f>IF(G578='Tablas AR'!$B$10,1,IF('Análisis de Riesgos'!G578='Tablas AR'!$B$11,2,IF('Análisis de Riesgos'!G578='Tablas AR'!$B$12,3,"")))</f>
        <v/>
      </c>
      <c r="I578" t="str">
        <f t="shared" si="8"/>
        <v/>
      </c>
    </row>
    <row r="579" spans="2:9" x14ac:dyDescent="0.25">
      <c r="B579" s="24" t="str">
        <f>IFERROR(INDEX(Activos!$B$3:$C$11, MATCH(C579,Activos!$B$3:$B$11),2),"")</f>
        <v/>
      </c>
      <c r="C579" s="24"/>
      <c r="D579" s="24"/>
      <c r="E579" s="23"/>
      <c r="F579" t="str">
        <f>IF(E579='Tablas AR'!$B$4,1,IF('Análisis de Riesgos'!E579='Tablas AR'!$B$5,2,IF('Análisis de Riesgos'!E579='Tablas AR'!$B$6,3,"")))</f>
        <v/>
      </c>
      <c r="G579" s="23"/>
      <c r="H579" t="str">
        <f>IF(G579='Tablas AR'!$B$10,1,IF('Análisis de Riesgos'!G579='Tablas AR'!$B$11,2,IF('Análisis de Riesgos'!G579='Tablas AR'!$B$12,3,"")))</f>
        <v/>
      </c>
      <c r="I579" t="str">
        <f t="shared" si="8"/>
        <v/>
      </c>
    </row>
    <row r="580" spans="2:9" x14ac:dyDescent="0.25">
      <c r="B580" s="24" t="str">
        <f>IFERROR(INDEX(Activos!$B$3:$C$11, MATCH(C580,Activos!$B$3:$B$11),2),"")</f>
        <v/>
      </c>
      <c r="C580" s="24"/>
      <c r="D580" s="24"/>
      <c r="E580" s="23"/>
      <c r="F580" t="str">
        <f>IF(E580='Tablas AR'!$B$4,1,IF('Análisis de Riesgos'!E580='Tablas AR'!$B$5,2,IF('Análisis de Riesgos'!E580='Tablas AR'!$B$6,3,"")))</f>
        <v/>
      </c>
      <c r="G580" s="23"/>
      <c r="H580" t="str">
        <f>IF(G580='Tablas AR'!$B$10,1,IF('Análisis de Riesgos'!G580='Tablas AR'!$B$11,2,IF('Análisis de Riesgos'!G580='Tablas AR'!$B$12,3,"")))</f>
        <v/>
      </c>
      <c r="I580" t="str">
        <f t="shared" ref="I580:I643" si="9" xml:space="preserve"> IFERROR(F580*H580,"")</f>
        <v/>
      </c>
    </row>
    <row r="581" spans="2:9" x14ac:dyDescent="0.25">
      <c r="B581" s="24" t="str">
        <f>IFERROR(INDEX(Activos!$B$3:$C$11, MATCH(C581,Activos!$B$3:$B$11),2),"")</f>
        <v/>
      </c>
      <c r="C581" s="24"/>
      <c r="D581" s="24"/>
      <c r="E581" s="23"/>
      <c r="F581" t="str">
        <f>IF(E581='Tablas AR'!$B$4,1,IF('Análisis de Riesgos'!E581='Tablas AR'!$B$5,2,IF('Análisis de Riesgos'!E581='Tablas AR'!$B$6,3,"")))</f>
        <v/>
      </c>
      <c r="G581" s="23"/>
      <c r="H581" t="str">
        <f>IF(G581='Tablas AR'!$B$10,1,IF('Análisis de Riesgos'!G581='Tablas AR'!$B$11,2,IF('Análisis de Riesgos'!G581='Tablas AR'!$B$12,3,"")))</f>
        <v/>
      </c>
      <c r="I581" t="str">
        <f t="shared" si="9"/>
        <v/>
      </c>
    </row>
    <row r="582" spans="2:9" x14ac:dyDescent="0.25">
      <c r="B582" s="24" t="str">
        <f>IFERROR(INDEX(Activos!$B$3:$C$11, MATCH(C582,Activos!$B$3:$B$11),2),"")</f>
        <v/>
      </c>
      <c r="C582" s="24"/>
      <c r="D582" s="24"/>
      <c r="E582" s="23"/>
      <c r="F582" t="str">
        <f>IF(E582='Tablas AR'!$B$4,1,IF('Análisis de Riesgos'!E582='Tablas AR'!$B$5,2,IF('Análisis de Riesgos'!E582='Tablas AR'!$B$6,3,"")))</f>
        <v/>
      </c>
      <c r="G582" s="23"/>
      <c r="H582" t="str">
        <f>IF(G582='Tablas AR'!$B$10,1,IF('Análisis de Riesgos'!G582='Tablas AR'!$B$11,2,IF('Análisis de Riesgos'!G582='Tablas AR'!$B$12,3,"")))</f>
        <v/>
      </c>
      <c r="I582" t="str">
        <f t="shared" si="9"/>
        <v/>
      </c>
    </row>
    <row r="583" spans="2:9" x14ac:dyDescent="0.25">
      <c r="B583" s="24" t="str">
        <f>IFERROR(INDEX(Activos!$B$3:$C$11, MATCH(C583,Activos!$B$3:$B$11),2),"")</f>
        <v/>
      </c>
      <c r="C583" s="24"/>
      <c r="D583" s="24"/>
      <c r="E583" s="23"/>
      <c r="F583" t="str">
        <f>IF(E583='Tablas AR'!$B$4,1,IF('Análisis de Riesgos'!E583='Tablas AR'!$B$5,2,IF('Análisis de Riesgos'!E583='Tablas AR'!$B$6,3,"")))</f>
        <v/>
      </c>
      <c r="G583" s="23"/>
      <c r="H583" t="str">
        <f>IF(G583='Tablas AR'!$B$10,1,IF('Análisis de Riesgos'!G583='Tablas AR'!$B$11,2,IF('Análisis de Riesgos'!G583='Tablas AR'!$B$12,3,"")))</f>
        <v/>
      </c>
      <c r="I583" t="str">
        <f t="shared" si="9"/>
        <v/>
      </c>
    </row>
    <row r="584" spans="2:9" x14ac:dyDescent="0.25">
      <c r="B584" s="24" t="str">
        <f>IFERROR(INDEX(Activos!$B$3:$C$11, MATCH(C584,Activos!$B$3:$B$11),2),"")</f>
        <v/>
      </c>
      <c r="C584" s="24"/>
      <c r="D584" s="24"/>
      <c r="E584" s="23"/>
      <c r="F584" t="str">
        <f>IF(E584='Tablas AR'!$B$4,1,IF('Análisis de Riesgos'!E584='Tablas AR'!$B$5,2,IF('Análisis de Riesgos'!E584='Tablas AR'!$B$6,3,"")))</f>
        <v/>
      </c>
      <c r="G584" s="23"/>
      <c r="H584" t="str">
        <f>IF(G584='Tablas AR'!$B$10,1,IF('Análisis de Riesgos'!G584='Tablas AR'!$B$11,2,IF('Análisis de Riesgos'!G584='Tablas AR'!$B$12,3,"")))</f>
        <v/>
      </c>
      <c r="I584" t="str">
        <f t="shared" si="9"/>
        <v/>
      </c>
    </row>
    <row r="585" spans="2:9" x14ac:dyDescent="0.25">
      <c r="B585" s="24" t="str">
        <f>IFERROR(INDEX(Activos!$B$3:$C$11, MATCH(C585,Activos!$B$3:$B$11),2),"")</f>
        <v/>
      </c>
      <c r="C585" s="24"/>
      <c r="D585" s="24"/>
      <c r="E585" s="23"/>
      <c r="F585" t="str">
        <f>IF(E585='Tablas AR'!$B$4,1,IF('Análisis de Riesgos'!E585='Tablas AR'!$B$5,2,IF('Análisis de Riesgos'!E585='Tablas AR'!$B$6,3,"")))</f>
        <v/>
      </c>
      <c r="G585" s="23"/>
      <c r="H585" t="str">
        <f>IF(G585='Tablas AR'!$B$10,1,IF('Análisis de Riesgos'!G585='Tablas AR'!$B$11,2,IF('Análisis de Riesgos'!G585='Tablas AR'!$B$12,3,"")))</f>
        <v/>
      </c>
      <c r="I585" t="str">
        <f t="shared" si="9"/>
        <v/>
      </c>
    </row>
    <row r="586" spans="2:9" x14ac:dyDescent="0.25">
      <c r="B586" s="24" t="str">
        <f>IFERROR(INDEX(Activos!$B$3:$C$11, MATCH(C586,Activos!$B$3:$B$11),2),"")</f>
        <v/>
      </c>
      <c r="C586" s="24"/>
      <c r="D586" s="24"/>
      <c r="E586" s="23"/>
      <c r="F586" t="str">
        <f>IF(E586='Tablas AR'!$B$4,1,IF('Análisis de Riesgos'!E586='Tablas AR'!$B$5,2,IF('Análisis de Riesgos'!E586='Tablas AR'!$B$6,3,"")))</f>
        <v/>
      </c>
      <c r="G586" s="23"/>
      <c r="H586" t="str">
        <f>IF(G586='Tablas AR'!$B$10,1,IF('Análisis de Riesgos'!G586='Tablas AR'!$B$11,2,IF('Análisis de Riesgos'!G586='Tablas AR'!$B$12,3,"")))</f>
        <v/>
      </c>
      <c r="I586" t="str">
        <f t="shared" si="9"/>
        <v/>
      </c>
    </row>
    <row r="587" spans="2:9" x14ac:dyDescent="0.25">
      <c r="B587" s="24" t="str">
        <f>IFERROR(INDEX(Activos!$B$3:$C$11, MATCH(C587,Activos!$B$3:$B$11),2),"")</f>
        <v/>
      </c>
      <c r="C587" s="24"/>
      <c r="D587" s="24"/>
      <c r="E587" s="23"/>
      <c r="F587" t="str">
        <f>IF(E587='Tablas AR'!$B$4,1,IF('Análisis de Riesgos'!E587='Tablas AR'!$B$5,2,IF('Análisis de Riesgos'!E587='Tablas AR'!$B$6,3,"")))</f>
        <v/>
      </c>
      <c r="G587" s="23"/>
      <c r="H587" t="str">
        <f>IF(G587='Tablas AR'!$B$10,1,IF('Análisis de Riesgos'!G587='Tablas AR'!$B$11,2,IF('Análisis de Riesgos'!G587='Tablas AR'!$B$12,3,"")))</f>
        <v/>
      </c>
      <c r="I587" t="str">
        <f t="shared" si="9"/>
        <v/>
      </c>
    </row>
    <row r="588" spans="2:9" x14ac:dyDescent="0.25">
      <c r="B588" s="24" t="str">
        <f>IFERROR(INDEX(Activos!$B$3:$C$11, MATCH(C588,Activos!$B$3:$B$11),2),"")</f>
        <v/>
      </c>
      <c r="C588" s="24"/>
      <c r="D588" s="24"/>
      <c r="E588" s="23"/>
      <c r="F588" t="str">
        <f>IF(E588='Tablas AR'!$B$4,1,IF('Análisis de Riesgos'!E588='Tablas AR'!$B$5,2,IF('Análisis de Riesgos'!E588='Tablas AR'!$B$6,3,"")))</f>
        <v/>
      </c>
      <c r="G588" s="23"/>
      <c r="H588" t="str">
        <f>IF(G588='Tablas AR'!$B$10,1,IF('Análisis de Riesgos'!G588='Tablas AR'!$B$11,2,IF('Análisis de Riesgos'!G588='Tablas AR'!$B$12,3,"")))</f>
        <v/>
      </c>
      <c r="I588" t="str">
        <f t="shared" si="9"/>
        <v/>
      </c>
    </row>
    <row r="589" spans="2:9" x14ac:dyDescent="0.25">
      <c r="B589" s="24" t="str">
        <f>IFERROR(INDEX(Activos!$B$3:$C$11, MATCH(C589,Activos!$B$3:$B$11),2),"")</f>
        <v/>
      </c>
      <c r="C589" s="24"/>
      <c r="D589" s="24"/>
      <c r="E589" s="23"/>
      <c r="F589" t="str">
        <f>IF(E589='Tablas AR'!$B$4,1,IF('Análisis de Riesgos'!E589='Tablas AR'!$B$5,2,IF('Análisis de Riesgos'!E589='Tablas AR'!$B$6,3,"")))</f>
        <v/>
      </c>
      <c r="G589" s="23"/>
      <c r="H589" t="str">
        <f>IF(G589='Tablas AR'!$B$10,1,IF('Análisis de Riesgos'!G589='Tablas AR'!$B$11,2,IF('Análisis de Riesgos'!G589='Tablas AR'!$B$12,3,"")))</f>
        <v/>
      </c>
      <c r="I589" t="str">
        <f t="shared" si="9"/>
        <v/>
      </c>
    </row>
    <row r="590" spans="2:9" x14ac:dyDescent="0.25">
      <c r="B590" s="24" t="str">
        <f>IFERROR(INDEX(Activos!$B$3:$C$11, MATCH(C590,Activos!$B$3:$B$11),2),"")</f>
        <v/>
      </c>
      <c r="C590" s="24"/>
      <c r="D590" s="24"/>
      <c r="E590" s="23"/>
      <c r="F590" t="str">
        <f>IF(E590='Tablas AR'!$B$4,1,IF('Análisis de Riesgos'!E590='Tablas AR'!$B$5,2,IF('Análisis de Riesgos'!E590='Tablas AR'!$B$6,3,"")))</f>
        <v/>
      </c>
      <c r="G590" s="23"/>
      <c r="H590" t="str">
        <f>IF(G590='Tablas AR'!$B$10,1,IF('Análisis de Riesgos'!G590='Tablas AR'!$B$11,2,IF('Análisis de Riesgos'!G590='Tablas AR'!$B$12,3,"")))</f>
        <v/>
      </c>
      <c r="I590" t="str">
        <f t="shared" si="9"/>
        <v/>
      </c>
    </row>
    <row r="591" spans="2:9" x14ac:dyDescent="0.25">
      <c r="B591" s="24" t="str">
        <f>IFERROR(INDEX(Activos!$B$3:$C$11, MATCH(C591,Activos!$B$3:$B$11),2),"")</f>
        <v/>
      </c>
      <c r="C591" s="24"/>
      <c r="D591" s="24"/>
      <c r="E591" s="23"/>
      <c r="F591" t="str">
        <f>IF(E591='Tablas AR'!$B$4,1,IF('Análisis de Riesgos'!E591='Tablas AR'!$B$5,2,IF('Análisis de Riesgos'!E591='Tablas AR'!$B$6,3,"")))</f>
        <v/>
      </c>
      <c r="G591" s="23"/>
      <c r="H591" t="str">
        <f>IF(G591='Tablas AR'!$B$10,1,IF('Análisis de Riesgos'!G591='Tablas AR'!$B$11,2,IF('Análisis de Riesgos'!G591='Tablas AR'!$B$12,3,"")))</f>
        <v/>
      </c>
      <c r="I591" t="str">
        <f t="shared" si="9"/>
        <v/>
      </c>
    </row>
    <row r="592" spans="2:9" x14ac:dyDescent="0.25">
      <c r="B592" s="24" t="str">
        <f>IFERROR(INDEX(Activos!$B$3:$C$11, MATCH(C592,Activos!$B$3:$B$11),2),"")</f>
        <v/>
      </c>
      <c r="C592" s="24"/>
      <c r="D592" s="24"/>
      <c r="E592" s="23"/>
      <c r="F592" t="str">
        <f>IF(E592='Tablas AR'!$B$4,1,IF('Análisis de Riesgos'!E592='Tablas AR'!$B$5,2,IF('Análisis de Riesgos'!E592='Tablas AR'!$B$6,3,"")))</f>
        <v/>
      </c>
      <c r="G592" s="23"/>
      <c r="H592" t="str">
        <f>IF(G592='Tablas AR'!$B$10,1,IF('Análisis de Riesgos'!G592='Tablas AR'!$B$11,2,IF('Análisis de Riesgos'!G592='Tablas AR'!$B$12,3,"")))</f>
        <v/>
      </c>
      <c r="I592" t="str">
        <f t="shared" si="9"/>
        <v/>
      </c>
    </row>
    <row r="593" spans="2:9" x14ac:dyDescent="0.25">
      <c r="B593" s="24" t="str">
        <f>IFERROR(INDEX(Activos!$B$3:$C$11, MATCH(C593,Activos!$B$3:$B$11),2),"")</f>
        <v/>
      </c>
      <c r="C593" s="24"/>
      <c r="D593" s="24"/>
      <c r="E593" s="23"/>
      <c r="F593" t="str">
        <f>IF(E593='Tablas AR'!$B$4,1,IF('Análisis de Riesgos'!E593='Tablas AR'!$B$5,2,IF('Análisis de Riesgos'!E593='Tablas AR'!$B$6,3,"")))</f>
        <v/>
      </c>
      <c r="G593" s="23"/>
      <c r="H593" t="str">
        <f>IF(G593='Tablas AR'!$B$10,1,IF('Análisis de Riesgos'!G593='Tablas AR'!$B$11,2,IF('Análisis de Riesgos'!G593='Tablas AR'!$B$12,3,"")))</f>
        <v/>
      </c>
      <c r="I593" t="str">
        <f t="shared" si="9"/>
        <v/>
      </c>
    </row>
    <row r="594" spans="2:9" x14ac:dyDescent="0.25">
      <c r="B594" s="24" t="str">
        <f>IFERROR(INDEX(Activos!$B$3:$C$11, MATCH(C594,Activos!$B$3:$B$11),2),"")</f>
        <v/>
      </c>
      <c r="C594" s="24"/>
      <c r="D594" s="24"/>
      <c r="E594" s="23"/>
      <c r="F594" t="str">
        <f>IF(E594='Tablas AR'!$B$4,1,IF('Análisis de Riesgos'!E594='Tablas AR'!$B$5,2,IF('Análisis de Riesgos'!E594='Tablas AR'!$B$6,3,"")))</f>
        <v/>
      </c>
      <c r="G594" s="23"/>
      <c r="H594" t="str">
        <f>IF(G594='Tablas AR'!$B$10,1,IF('Análisis de Riesgos'!G594='Tablas AR'!$B$11,2,IF('Análisis de Riesgos'!G594='Tablas AR'!$B$12,3,"")))</f>
        <v/>
      </c>
      <c r="I594" t="str">
        <f t="shared" si="9"/>
        <v/>
      </c>
    </row>
    <row r="595" spans="2:9" x14ac:dyDescent="0.25">
      <c r="B595" s="24" t="str">
        <f>IFERROR(INDEX(Activos!$B$3:$C$11, MATCH(C595,Activos!$B$3:$B$11),2),"")</f>
        <v/>
      </c>
      <c r="C595" s="24"/>
      <c r="D595" s="24"/>
      <c r="E595" s="23"/>
      <c r="F595" t="str">
        <f>IF(E595='Tablas AR'!$B$4,1,IF('Análisis de Riesgos'!E595='Tablas AR'!$B$5,2,IF('Análisis de Riesgos'!E595='Tablas AR'!$B$6,3,"")))</f>
        <v/>
      </c>
      <c r="G595" s="23"/>
      <c r="H595" t="str">
        <f>IF(G595='Tablas AR'!$B$10,1,IF('Análisis de Riesgos'!G595='Tablas AR'!$B$11,2,IF('Análisis de Riesgos'!G595='Tablas AR'!$B$12,3,"")))</f>
        <v/>
      </c>
      <c r="I595" t="str">
        <f t="shared" si="9"/>
        <v/>
      </c>
    </row>
    <row r="596" spans="2:9" x14ac:dyDescent="0.25">
      <c r="B596" s="24" t="str">
        <f>IFERROR(INDEX(Activos!$B$3:$C$11, MATCH(C596,Activos!$B$3:$B$11),2),"")</f>
        <v/>
      </c>
      <c r="C596" s="24"/>
      <c r="D596" s="24"/>
      <c r="E596" s="23"/>
      <c r="F596" t="str">
        <f>IF(E596='Tablas AR'!$B$4,1,IF('Análisis de Riesgos'!E596='Tablas AR'!$B$5,2,IF('Análisis de Riesgos'!E596='Tablas AR'!$B$6,3,"")))</f>
        <v/>
      </c>
      <c r="G596" s="23"/>
      <c r="H596" t="str">
        <f>IF(G596='Tablas AR'!$B$10,1,IF('Análisis de Riesgos'!G596='Tablas AR'!$B$11,2,IF('Análisis de Riesgos'!G596='Tablas AR'!$B$12,3,"")))</f>
        <v/>
      </c>
      <c r="I596" t="str">
        <f t="shared" si="9"/>
        <v/>
      </c>
    </row>
    <row r="597" spans="2:9" x14ac:dyDescent="0.25">
      <c r="B597" s="24" t="str">
        <f>IFERROR(INDEX(Activos!$B$3:$C$11, MATCH(C597,Activos!$B$3:$B$11),2),"")</f>
        <v/>
      </c>
      <c r="C597" s="24"/>
      <c r="D597" s="24"/>
      <c r="E597" s="23"/>
      <c r="F597" t="str">
        <f>IF(E597='Tablas AR'!$B$4,1,IF('Análisis de Riesgos'!E597='Tablas AR'!$B$5,2,IF('Análisis de Riesgos'!E597='Tablas AR'!$B$6,3,"")))</f>
        <v/>
      </c>
      <c r="G597" s="23"/>
      <c r="H597" t="str">
        <f>IF(G597='Tablas AR'!$B$10,1,IF('Análisis de Riesgos'!G597='Tablas AR'!$B$11,2,IF('Análisis de Riesgos'!G597='Tablas AR'!$B$12,3,"")))</f>
        <v/>
      </c>
      <c r="I597" t="str">
        <f t="shared" si="9"/>
        <v/>
      </c>
    </row>
    <row r="598" spans="2:9" x14ac:dyDescent="0.25">
      <c r="B598" s="24" t="str">
        <f>IFERROR(INDEX(Activos!$B$3:$C$11, MATCH(C598,Activos!$B$3:$B$11),2),"")</f>
        <v/>
      </c>
      <c r="C598" s="24"/>
      <c r="D598" s="24"/>
      <c r="E598" s="23"/>
      <c r="F598" t="str">
        <f>IF(E598='Tablas AR'!$B$4,1,IF('Análisis de Riesgos'!E598='Tablas AR'!$B$5,2,IF('Análisis de Riesgos'!E598='Tablas AR'!$B$6,3,"")))</f>
        <v/>
      </c>
      <c r="G598" s="23"/>
      <c r="H598" t="str">
        <f>IF(G598='Tablas AR'!$B$10,1,IF('Análisis de Riesgos'!G598='Tablas AR'!$B$11,2,IF('Análisis de Riesgos'!G598='Tablas AR'!$B$12,3,"")))</f>
        <v/>
      </c>
      <c r="I598" t="str">
        <f t="shared" si="9"/>
        <v/>
      </c>
    </row>
    <row r="599" spans="2:9" x14ac:dyDescent="0.25">
      <c r="B599" s="24" t="str">
        <f>IFERROR(INDEX(Activos!$B$3:$C$11, MATCH(C599,Activos!$B$3:$B$11),2),"")</f>
        <v/>
      </c>
      <c r="C599" s="24"/>
      <c r="D599" s="24"/>
      <c r="E599" s="23"/>
      <c r="F599" t="str">
        <f>IF(E599='Tablas AR'!$B$4,1,IF('Análisis de Riesgos'!E599='Tablas AR'!$B$5,2,IF('Análisis de Riesgos'!E599='Tablas AR'!$B$6,3,"")))</f>
        <v/>
      </c>
      <c r="G599" s="23"/>
      <c r="H599" t="str">
        <f>IF(G599='Tablas AR'!$B$10,1,IF('Análisis de Riesgos'!G599='Tablas AR'!$B$11,2,IF('Análisis de Riesgos'!G599='Tablas AR'!$B$12,3,"")))</f>
        <v/>
      </c>
      <c r="I599" t="str">
        <f t="shared" si="9"/>
        <v/>
      </c>
    </row>
    <row r="600" spans="2:9" x14ac:dyDescent="0.25">
      <c r="B600" s="24" t="str">
        <f>IFERROR(INDEX(Activos!$B$3:$C$11, MATCH(C600,Activos!$B$3:$B$11),2),"")</f>
        <v/>
      </c>
      <c r="C600" s="24"/>
      <c r="D600" s="24"/>
      <c r="E600" s="23"/>
      <c r="F600" t="str">
        <f>IF(E600='Tablas AR'!$B$4,1,IF('Análisis de Riesgos'!E600='Tablas AR'!$B$5,2,IF('Análisis de Riesgos'!E600='Tablas AR'!$B$6,3,"")))</f>
        <v/>
      </c>
      <c r="G600" s="23"/>
      <c r="H600" t="str">
        <f>IF(G600='Tablas AR'!$B$10,1,IF('Análisis de Riesgos'!G600='Tablas AR'!$B$11,2,IF('Análisis de Riesgos'!G600='Tablas AR'!$B$12,3,"")))</f>
        <v/>
      </c>
      <c r="I600" t="str">
        <f t="shared" si="9"/>
        <v/>
      </c>
    </row>
    <row r="601" spans="2:9" x14ac:dyDescent="0.25">
      <c r="B601" s="24" t="str">
        <f>IFERROR(INDEX(Activos!$B$3:$C$11, MATCH(C601,Activos!$B$3:$B$11),2),"")</f>
        <v/>
      </c>
      <c r="C601" s="24"/>
      <c r="D601" s="24"/>
      <c r="E601" s="23"/>
      <c r="F601" t="str">
        <f>IF(E601='Tablas AR'!$B$4,1,IF('Análisis de Riesgos'!E601='Tablas AR'!$B$5,2,IF('Análisis de Riesgos'!E601='Tablas AR'!$B$6,3,"")))</f>
        <v/>
      </c>
      <c r="G601" s="23"/>
      <c r="H601" t="str">
        <f>IF(G601='Tablas AR'!$B$10,1,IF('Análisis de Riesgos'!G601='Tablas AR'!$B$11,2,IF('Análisis de Riesgos'!G601='Tablas AR'!$B$12,3,"")))</f>
        <v/>
      </c>
      <c r="I601" t="str">
        <f t="shared" si="9"/>
        <v/>
      </c>
    </row>
    <row r="602" spans="2:9" x14ac:dyDescent="0.25">
      <c r="B602" s="24" t="str">
        <f>IFERROR(INDEX(Activos!$B$3:$C$11, MATCH(C602,Activos!$B$3:$B$11),2),"")</f>
        <v/>
      </c>
      <c r="C602" s="24"/>
      <c r="D602" s="24"/>
      <c r="E602" s="23"/>
      <c r="F602" t="str">
        <f>IF(E602='Tablas AR'!$B$4,1,IF('Análisis de Riesgos'!E602='Tablas AR'!$B$5,2,IF('Análisis de Riesgos'!E602='Tablas AR'!$B$6,3,"")))</f>
        <v/>
      </c>
      <c r="G602" s="23"/>
      <c r="H602" t="str">
        <f>IF(G602='Tablas AR'!$B$10,1,IF('Análisis de Riesgos'!G602='Tablas AR'!$B$11,2,IF('Análisis de Riesgos'!G602='Tablas AR'!$B$12,3,"")))</f>
        <v/>
      </c>
      <c r="I602" t="str">
        <f t="shared" si="9"/>
        <v/>
      </c>
    </row>
    <row r="603" spans="2:9" x14ac:dyDescent="0.25">
      <c r="B603" s="24" t="str">
        <f>IFERROR(INDEX(Activos!$B$3:$C$11, MATCH(C603,Activos!$B$3:$B$11),2),"")</f>
        <v/>
      </c>
      <c r="C603" s="24"/>
      <c r="D603" s="24"/>
      <c r="E603" s="23"/>
      <c r="F603" t="str">
        <f>IF(E603='Tablas AR'!$B$4,1,IF('Análisis de Riesgos'!E603='Tablas AR'!$B$5,2,IF('Análisis de Riesgos'!E603='Tablas AR'!$B$6,3,"")))</f>
        <v/>
      </c>
      <c r="G603" s="23"/>
      <c r="H603" t="str">
        <f>IF(G603='Tablas AR'!$B$10,1,IF('Análisis de Riesgos'!G603='Tablas AR'!$B$11,2,IF('Análisis de Riesgos'!G603='Tablas AR'!$B$12,3,"")))</f>
        <v/>
      </c>
      <c r="I603" t="str">
        <f t="shared" si="9"/>
        <v/>
      </c>
    </row>
    <row r="604" spans="2:9" x14ac:dyDescent="0.25">
      <c r="B604" s="24" t="str">
        <f>IFERROR(INDEX(Activos!$B$3:$C$11, MATCH(C604,Activos!$B$3:$B$11),2),"")</f>
        <v/>
      </c>
      <c r="C604" s="24"/>
      <c r="D604" s="24"/>
      <c r="E604" s="23"/>
      <c r="F604" t="str">
        <f>IF(E604='Tablas AR'!$B$4,1,IF('Análisis de Riesgos'!E604='Tablas AR'!$B$5,2,IF('Análisis de Riesgos'!E604='Tablas AR'!$B$6,3,"")))</f>
        <v/>
      </c>
      <c r="G604" s="23"/>
      <c r="H604" t="str">
        <f>IF(G604='Tablas AR'!$B$10,1,IF('Análisis de Riesgos'!G604='Tablas AR'!$B$11,2,IF('Análisis de Riesgos'!G604='Tablas AR'!$B$12,3,"")))</f>
        <v/>
      </c>
      <c r="I604" t="str">
        <f t="shared" si="9"/>
        <v/>
      </c>
    </row>
    <row r="605" spans="2:9" x14ac:dyDescent="0.25">
      <c r="B605" s="24" t="str">
        <f>IFERROR(INDEX(Activos!$B$3:$C$11, MATCH(C605,Activos!$B$3:$B$11),2),"")</f>
        <v/>
      </c>
      <c r="C605" s="24"/>
      <c r="D605" s="24"/>
      <c r="E605" s="23"/>
      <c r="F605" t="str">
        <f>IF(E605='Tablas AR'!$B$4,1,IF('Análisis de Riesgos'!E605='Tablas AR'!$B$5,2,IF('Análisis de Riesgos'!E605='Tablas AR'!$B$6,3,"")))</f>
        <v/>
      </c>
      <c r="G605" s="23"/>
      <c r="H605" t="str">
        <f>IF(G605='Tablas AR'!$B$10,1,IF('Análisis de Riesgos'!G605='Tablas AR'!$B$11,2,IF('Análisis de Riesgos'!G605='Tablas AR'!$B$12,3,"")))</f>
        <v/>
      </c>
      <c r="I605" t="str">
        <f t="shared" si="9"/>
        <v/>
      </c>
    </row>
    <row r="606" spans="2:9" x14ac:dyDescent="0.25">
      <c r="B606" s="24" t="str">
        <f>IFERROR(INDEX(Activos!$B$3:$C$11, MATCH(C606,Activos!$B$3:$B$11),2),"")</f>
        <v/>
      </c>
      <c r="C606" s="24"/>
      <c r="D606" s="24"/>
      <c r="E606" s="23"/>
      <c r="F606" t="str">
        <f>IF(E606='Tablas AR'!$B$4,1,IF('Análisis de Riesgos'!E606='Tablas AR'!$B$5,2,IF('Análisis de Riesgos'!E606='Tablas AR'!$B$6,3,"")))</f>
        <v/>
      </c>
      <c r="G606" s="23"/>
      <c r="H606" t="str">
        <f>IF(G606='Tablas AR'!$B$10,1,IF('Análisis de Riesgos'!G606='Tablas AR'!$B$11,2,IF('Análisis de Riesgos'!G606='Tablas AR'!$B$12,3,"")))</f>
        <v/>
      </c>
      <c r="I606" t="str">
        <f t="shared" si="9"/>
        <v/>
      </c>
    </row>
    <row r="607" spans="2:9" x14ac:dyDescent="0.25">
      <c r="B607" s="24" t="str">
        <f>IFERROR(INDEX(Activos!$B$3:$C$11, MATCH(C607,Activos!$B$3:$B$11),2),"")</f>
        <v/>
      </c>
      <c r="C607" s="24"/>
      <c r="D607" s="24"/>
      <c r="E607" s="23"/>
      <c r="F607" t="str">
        <f>IF(E607='Tablas AR'!$B$4,1,IF('Análisis de Riesgos'!E607='Tablas AR'!$B$5,2,IF('Análisis de Riesgos'!E607='Tablas AR'!$B$6,3,"")))</f>
        <v/>
      </c>
      <c r="G607" s="23"/>
      <c r="H607" t="str">
        <f>IF(G607='Tablas AR'!$B$10,1,IF('Análisis de Riesgos'!G607='Tablas AR'!$B$11,2,IF('Análisis de Riesgos'!G607='Tablas AR'!$B$12,3,"")))</f>
        <v/>
      </c>
      <c r="I607" t="str">
        <f t="shared" si="9"/>
        <v/>
      </c>
    </row>
    <row r="608" spans="2:9" x14ac:dyDescent="0.25">
      <c r="B608" s="24" t="str">
        <f>IFERROR(INDEX(Activos!$B$3:$C$11, MATCH(C608,Activos!$B$3:$B$11),2),"")</f>
        <v/>
      </c>
      <c r="C608" s="24"/>
      <c r="D608" s="24"/>
      <c r="E608" s="23"/>
      <c r="F608" t="str">
        <f>IF(E608='Tablas AR'!$B$4,1,IF('Análisis de Riesgos'!E608='Tablas AR'!$B$5,2,IF('Análisis de Riesgos'!E608='Tablas AR'!$B$6,3,"")))</f>
        <v/>
      </c>
      <c r="G608" s="23"/>
      <c r="H608" t="str">
        <f>IF(G608='Tablas AR'!$B$10,1,IF('Análisis de Riesgos'!G608='Tablas AR'!$B$11,2,IF('Análisis de Riesgos'!G608='Tablas AR'!$B$12,3,"")))</f>
        <v/>
      </c>
      <c r="I608" t="str">
        <f t="shared" si="9"/>
        <v/>
      </c>
    </row>
    <row r="609" spans="2:9" x14ac:dyDescent="0.25">
      <c r="B609" s="24" t="str">
        <f>IFERROR(INDEX(Activos!$B$3:$C$11, MATCH(C609,Activos!$B$3:$B$11),2),"")</f>
        <v/>
      </c>
      <c r="C609" s="24"/>
      <c r="D609" s="24"/>
      <c r="E609" s="23"/>
      <c r="F609" t="str">
        <f>IF(E609='Tablas AR'!$B$4,1,IF('Análisis de Riesgos'!E609='Tablas AR'!$B$5,2,IF('Análisis de Riesgos'!E609='Tablas AR'!$B$6,3,"")))</f>
        <v/>
      </c>
      <c r="G609" s="23"/>
      <c r="H609" t="str">
        <f>IF(G609='Tablas AR'!$B$10,1,IF('Análisis de Riesgos'!G609='Tablas AR'!$B$11,2,IF('Análisis de Riesgos'!G609='Tablas AR'!$B$12,3,"")))</f>
        <v/>
      </c>
      <c r="I609" t="str">
        <f t="shared" si="9"/>
        <v/>
      </c>
    </row>
    <row r="610" spans="2:9" x14ac:dyDescent="0.25">
      <c r="B610" s="24" t="str">
        <f>IFERROR(INDEX(Activos!$B$3:$C$11, MATCH(C610,Activos!$B$3:$B$11),2),"")</f>
        <v/>
      </c>
      <c r="C610" s="24"/>
      <c r="D610" s="24"/>
      <c r="E610" s="23"/>
      <c r="F610" t="str">
        <f>IF(E610='Tablas AR'!$B$4,1,IF('Análisis de Riesgos'!E610='Tablas AR'!$B$5,2,IF('Análisis de Riesgos'!E610='Tablas AR'!$B$6,3,"")))</f>
        <v/>
      </c>
      <c r="G610" s="23"/>
      <c r="H610" t="str">
        <f>IF(G610='Tablas AR'!$B$10,1,IF('Análisis de Riesgos'!G610='Tablas AR'!$B$11,2,IF('Análisis de Riesgos'!G610='Tablas AR'!$B$12,3,"")))</f>
        <v/>
      </c>
      <c r="I610" t="str">
        <f t="shared" si="9"/>
        <v/>
      </c>
    </row>
    <row r="611" spans="2:9" x14ac:dyDescent="0.25">
      <c r="B611" s="24" t="str">
        <f>IFERROR(INDEX(Activos!$B$3:$C$11, MATCH(C611,Activos!$B$3:$B$11),2),"")</f>
        <v/>
      </c>
      <c r="C611" s="24"/>
      <c r="D611" s="24"/>
      <c r="E611" s="23"/>
      <c r="F611" t="str">
        <f>IF(E611='Tablas AR'!$B$4,1,IF('Análisis de Riesgos'!E611='Tablas AR'!$B$5,2,IF('Análisis de Riesgos'!E611='Tablas AR'!$B$6,3,"")))</f>
        <v/>
      </c>
      <c r="G611" s="23"/>
      <c r="H611" t="str">
        <f>IF(G611='Tablas AR'!$B$10,1,IF('Análisis de Riesgos'!G611='Tablas AR'!$B$11,2,IF('Análisis de Riesgos'!G611='Tablas AR'!$B$12,3,"")))</f>
        <v/>
      </c>
      <c r="I611" t="str">
        <f t="shared" si="9"/>
        <v/>
      </c>
    </row>
    <row r="612" spans="2:9" x14ac:dyDescent="0.25">
      <c r="B612" s="24" t="str">
        <f>IFERROR(INDEX(Activos!$B$3:$C$11, MATCH(C612,Activos!$B$3:$B$11),2),"")</f>
        <v/>
      </c>
      <c r="C612" s="24"/>
      <c r="D612" s="24"/>
      <c r="E612" s="23"/>
      <c r="F612" t="str">
        <f>IF(E612='Tablas AR'!$B$4,1,IF('Análisis de Riesgos'!E612='Tablas AR'!$B$5,2,IF('Análisis de Riesgos'!E612='Tablas AR'!$B$6,3,"")))</f>
        <v/>
      </c>
      <c r="G612" s="23"/>
      <c r="H612" t="str">
        <f>IF(G612='Tablas AR'!$B$10,1,IF('Análisis de Riesgos'!G612='Tablas AR'!$B$11,2,IF('Análisis de Riesgos'!G612='Tablas AR'!$B$12,3,"")))</f>
        <v/>
      </c>
      <c r="I612" t="str">
        <f t="shared" si="9"/>
        <v/>
      </c>
    </row>
    <row r="613" spans="2:9" x14ac:dyDescent="0.25">
      <c r="B613" s="24" t="str">
        <f>IFERROR(INDEX(Activos!$B$3:$C$11, MATCH(C613,Activos!$B$3:$B$11),2),"")</f>
        <v/>
      </c>
      <c r="C613" s="24"/>
      <c r="D613" s="24"/>
      <c r="E613" s="23"/>
      <c r="F613" t="str">
        <f>IF(E613='Tablas AR'!$B$4,1,IF('Análisis de Riesgos'!E613='Tablas AR'!$B$5,2,IF('Análisis de Riesgos'!E613='Tablas AR'!$B$6,3,"")))</f>
        <v/>
      </c>
      <c r="G613" s="23"/>
      <c r="H613" t="str">
        <f>IF(G613='Tablas AR'!$B$10,1,IF('Análisis de Riesgos'!G613='Tablas AR'!$B$11,2,IF('Análisis de Riesgos'!G613='Tablas AR'!$B$12,3,"")))</f>
        <v/>
      </c>
      <c r="I613" t="str">
        <f t="shared" si="9"/>
        <v/>
      </c>
    </row>
    <row r="614" spans="2:9" x14ac:dyDescent="0.25">
      <c r="B614" s="24" t="str">
        <f>IFERROR(INDEX(Activos!$B$3:$C$11, MATCH(C614,Activos!$B$3:$B$11),2),"")</f>
        <v/>
      </c>
      <c r="C614" s="24"/>
      <c r="D614" s="24"/>
      <c r="E614" s="23"/>
      <c r="F614" t="str">
        <f>IF(E614='Tablas AR'!$B$4,1,IF('Análisis de Riesgos'!E614='Tablas AR'!$B$5,2,IF('Análisis de Riesgos'!E614='Tablas AR'!$B$6,3,"")))</f>
        <v/>
      </c>
      <c r="G614" s="23"/>
      <c r="H614" t="str">
        <f>IF(G614='Tablas AR'!$B$10,1,IF('Análisis de Riesgos'!G614='Tablas AR'!$B$11,2,IF('Análisis de Riesgos'!G614='Tablas AR'!$B$12,3,"")))</f>
        <v/>
      </c>
      <c r="I614" t="str">
        <f t="shared" si="9"/>
        <v/>
      </c>
    </row>
    <row r="615" spans="2:9" x14ac:dyDescent="0.25">
      <c r="B615" s="24" t="str">
        <f>IFERROR(INDEX(Activos!$B$3:$C$11, MATCH(C615,Activos!$B$3:$B$11),2),"")</f>
        <v/>
      </c>
      <c r="C615" s="24"/>
      <c r="D615" s="24"/>
      <c r="E615" s="23"/>
      <c r="F615" t="str">
        <f>IF(E615='Tablas AR'!$B$4,1,IF('Análisis de Riesgos'!E615='Tablas AR'!$B$5,2,IF('Análisis de Riesgos'!E615='Tablas AR'!$B$6,3,"")))</f>
        <v/>
      </c>
      <c r="G615" s="23"/>
      <c r="H615" t="str">
        <f>IF(G615='Tablas AR'!$B$10,1,IF('Análisis de Riesgos'!G615='Tablas AR'!$B$11,2,IF('Análisis de Riesgos'!G615='Tablas AR'!$B$12,3,"")))</f>
        <v/>
      </c>
      <c r="I615" t="str">
        <f t="shared" si="9"/>
        <v/>
      </c>
    </row>
    <row r="616" spans="2:9" x14ac:dyDescent="0.25">
      <c r="B616" s="24" t="str">
        <f>IFERROR(INDEX(Activos!$B$3:$C$11, MATCH(C616,Activos!$B$3:$B$11),2),"")</f>
        <v/>
      </c>
      <c r="C616" s="24"/>
      <c r="D616" s="24"/>
      <c r="E616" s="23"/>
      <c r="F616" t="str">
        <f>IF(E616='Tablas AR'!$B$4,1,IF('Análisis de Riesgos'!E616='Tablas AR'!$B$5,2,IF('Análisis de Riesgos'!E616='Tablas AR'!$B$6,3,"")))</f>
        <v/>
      </c>
      <c r="G616" s="23"/>
      <c r="H616" t="str">
        <f>IF(G616='Tablas AR'!$B$10,1,IF('Análisis de Riesgos'!G616='Tablas AR'!$B$11,2,IF('Análisis de Riesgos'!G616='Tablas AR'!$B$12,3,"")))</f>
        <v/>
      </c>
      <c r="I616" t="str">
        <f t="shared" si="9"/>
        <v/>
      </c>
    </row>
    <row r="617" spans="2:9" x14ac:dyDescent="0.25">
      <c r="B617" s="24" t="str">
        <f>IFERROR(INDEX(Activos!$B$3:$C$11, MATCH(C617,Activos!$B$3:$B$11),2),"")</f>
        <v/>
      </c>
      <c r="C617" s="24"/>
      <c r="D617" s="24"/>
      <c r="E617" s="23"/>
      <c r="F617" t="str">
        <f>IF(E617='Tablas AR'!$B$4,1,IF('Análisis de Riesgos'!E617='Tablas AR'!$B$5,2,IF('Análisis de Riesgos'!E617='Tablas AR'!$B$6,3,"")))</f>
        <v/>
      </c>
      <c r="G617" s="23"/>
      <c r="H617" t="str">
        <f>IF(G617='Tablas AR'!$B$10,1,IF('Análisis de Riesgos'!G617='Tablas AR'!$B$11,2,IF('Análisis de Riesgos'!G617='Tablas AR'!$B$12,3,"")))</f>
        <v/>
      </c>
      <c r="I617" t="str">
        <f t="shared" si="9"/>
        <v/>
      </c>
    </row>
    <row r="618" spans="2:9" x14ac:dyDescent="0.25">
      <c r="B618" s="24" t="str">
        <f>IFERROR(INDEX(Activos!$B$3:$C$11, MATCH(C618,Activos!$B$3:$B$11),2),"")</f>
        <v/>
      </c>
      <c r="C618" s="24"/>
      <c r="D618" s="24"/>
      <c r="E618" s="23"/>
      <c r="F618" t="str">
        <f>IF(E618='Tablas AR'!$B$4,1,IF('Análisis de Riesgos'!E618='Tablas AR'!$B$5,2,IF('Análisis de Riesgos'!E618='Tablas AR'!$B$6,3,"")))</f>
        <v/>
      </c>
      <c r="G618" s="23"/>
      <c r="H618" t="str">
        <f>IF(G618='Tablas AR'!$B$10,1,IF('Análisis de Riesgos'!G618='Tablas AR'!$B$11,2,IF('Análisis de Riesgos'!G618='Tablas AR'!$B$12,3,"")))</f>
        <v/>
      </c>
      <c r="I618" t="str">
        <f t="shared" si="9"/>
        <v/>
      </c>
    </row>
    <row r="619" spans="2:9" x14ac:dyDescent="0.25">
      <c r="B619" s="24" t="str">
        <f>IFERROR(INDEX(Activos!$B$3:$C$11, MATCH(C619,Activos!$B$3:$B$11),2),"")</f>
        <v/>
      </c>
      <c r="C619" s="24"/>
      <c r="D619" s="24"/>
      <c r="E619" s="23"/>
      <c r="F619" t="str">
        <f>IF(E619='Tablas AR'!$B$4,1,IF('Análisis de Riesgos'!E619='Tablas AR'!$B$5,2,IF('Análisis de Riesgos'!E619='Tablas AR'!$B$6,3,"")))</f>
        <v/>
      </c>
      <c r="G619" s="23"/>
      <c r="H619" t="str">
        <f>IF(G619='Tablas AR'!$B$10,1,IF('Análisis de Riesgos'!G619='Tablas AR'!$B$11,2,IF('Análisis de Riesgos'!G619='Tablas AR'!$B$12,3,"")))</f>
        <v/>
      </c>
      <c r="I619" t="str">
        <f t="shared" si="9"/>
        <v/>
      </c>
    </row>
    <row r="620" spans="2:9" x14ac:dyDescent="0.25">
      <c r="B620" s="24" t="str">
        <f>IFERROR(INDEX(Activos!$B$3:$C$11, MATCH(C620,Activos!$B$3:$B$11),2),"")</f>
        <v/>
      </c>
      <c r="C620" s="24"/>
      <c r="D620" s="24"/>
      <c r="E620" s="23"/>
      <c r="F620" t="str">
        <f>IF(E620='Tablas AR'!$B$4,1,IF('Análisis de Riesgos'!E620='Tablas AR'!$B$5,2,IF('Análisis de Riesgos'!E620='Tablas AR'!$B$6,3,"")))</f>
        <v/>
      </c>
      <c r="G620" s="23"/>
      <c r="H620" t="str">
        <f>IF(G620='Tablas AR'!$B$10,1,IF('Análisis de Riesgos'!G620='Tablas AR'!$B$11,2,IF('Análisis de Riesgos'!G620='Tablas AR'!$B$12,3,"")))</f>
        <v/>
      </c>
      <c r="I620" t="str">
        <f t="shared" si="9"/>
        <v/>
      </c>
    </row>
    <row r="621" spans="2:9" x14ac:dyDescent="0.25">
      <c r="B621" s="24" t="str">
        <f>IFERROR(INDEX(Activos!$B$3:$C$11, MATCH(C621,Activos!$B$3:$B$11),2),"")</f>
        <v/>
      </c>
      <c r="C621" s="24"/>
      <c r="D621" s="24"/>
      <c r="E621" s="23"/>
      <c r="F621" t="str">
        <f>IF(E621='Tablas AR'!$B$4,1,IF('Análisis de Riesgos'!E621='Tablas AR'!$B$5,2,IF('Análisis de Riesgos'!E621='Tablas AR'!$B$6,3,"")))</f>
        <v/>
      </c>
      <c r="G621" s="23"/>
      <c r="H621" t="str">
        <f>IF(G621='Tablas AR'!$B$10,1,IF('Análisis de Riesgos'!G621='Tablas AR'!$B$11,2,IF('Análisis de Riesgos'!G621='Tablas AR'!$B$12,3,"")))</f>
        <v/>
      </c>
      <c r="I621" t="str">
        <f t="shared" si="9"/>
        <v/>
      </c>
    </row>
    <row r="622" spans="2:9" x14ac:dyDescent="0.25">
      <c r="B622" s="24" t="str">
        <f>IFERROR(INDEX(Activos!$B$3:$C$11, MATCH(C622,Activos!$B$3:$B$11),2),"")</f>
        <v/>
      </c>
      <c r="C622" s="24"/>
      <c r="D622" s="24"/>
      <c r="E622" s="23"/>
      <c r="F622" t="str">
        <f>IF(E622='Tablas AR'!$B$4,1,IF('Análisis de Riesgos'!E622='Tablas AR'!$B$5,2,IF('Análisis de Riesgos'!E622='Tablas AR'!$B$6,3,"")))</f>
        <v/>
      </c>
      <c r="G622" s="23"/>
      <c r="H622" t="str">
        <f>IF(G622='Tablas AR'!$B$10,1,IF('Análisis de Riesgos'!G622='Tablas AR'!$B$11,2,IF('Análisis de Riesgos'!G622='Tablas AR'!$B$12,3,"")))</f>
        <v/>
      </c>
      <c r="I622" t="str">
        <f t="shared" si="9"/>
        <v/>
      </c>
    </row>
    <row r="623" spans="2:9" x14ac:dyDescent="0.25">
      <c r="B623" s="24" t="str">
        <f>IFERROR(INDEX(Activos!$B$3:$C$11, MATCH(C623,Activos!$B$3:$B$11),2),"")</f>
        <v/>
      </c>
      <c r="C623" s="24"/>
      <c r="D623" s="24"/>
      <c r="E623" s="23"/>
      <c r="F623" t="str">
        <f>IF(E623='Tablas AR'!$B$4,1,IF('Análisis de Riesgos'!E623='Tablas AR'!$B$5,2,IF('Análisis de Riesgos'!E623='Tablas AR'!$B$6,3,"")))</f>
        <v/>
      </c>
      <c r="G623" s="23"/>
      <c r="H623" t="str">
        <f>IF(G623='Tablas AR'!$B$10,1,IF('Análisis de Riesgos'!G623='Tablas AR'!$B$11,2,IF('Análisis de Riesgos'!G623='Tablas AR'!$B$12,3,"")))</f>
        <v/>
      </c>
      <c r="I623" t="str">
        <f t="shared" si="9"/>
        <v/>
      </c>
    </row>
    <row r="624" spans="2:9" x14ac:dyDescent="0.25">
      <c r="B624" s="24" t="str">
        <f>IFERROR(INDEX(Activos!$B$3:$C$11, MATCH(C624,Activos!$B$3:$B$11),2),"")</f>
        <v/>
      </c>
      <c r="C624" s="24"/>
      <c r="D624" s="24"/>
      <c r="E624" s="23"/>
      <c r="F624" t="str">
        <f>IF(E624='Tablas AR'!$B$4,1,IF('Análisis de Riesgos'!E624='Tablas AR'!$B$5,2,IF('Análisis de Riesgos'!E624='Tablas AR'!$B$6,3,"")))</f>
        <v/>
      </c>
      <c r="G624" s="23"/>
      <c r="H624" t="str">
        <f>IF(G624='Tablas AR'!$B$10,1,IF('Análisis de Riesgos'!G624='Tablas AR'!$B$11,2,IF('Análisis de Riesgos'!G624='Tablas AR'!$B$12,3,"")))</f>
        <v/>
      </c>
      <c r="I624" t="str">
        <f t="shared" si="9"/>
        <v/>
      </c>
    </row>
    <row r="625" spans="2:9" x14ac:dyDescent="0.25">
      <c r="B625" s="24" t="str">
        <f>IFERROR(INDEX(Activos!$B$3:$C$11, MATCH(C625,Activos!$B$3:$B$11),2),"")</f>
        <v/>
      </c>
      <c r="C625" s="24"/>
      <c r="D625" s="24"/>
      <c r="E625" s="23"/>
      <c r="F625" t="str">
        <f>IF(E625='Tablas AR'!$B$4,1,IF('Análisis de Riesgos'!E625='Tablas AR'!$B$5,2,IF('Análisis de Riesgos'!E625='Tablas AR'!$B$6,3,"")))</f>
        <v/>
      </c>
      <c r="G625" s="23"/>
      <c r="H625" t="str">
        <f>IF(G625='Tablas AR'!$B$10,1,IF('Análisis de Riesgos'!G625='Tablas AR'!$B$11,2,IF('Análisis de Riesgos'!G625='Tablas AR'!$B$12,3,"")))</f>
        <v/>
      </c>
      <c r="I625" t="str">
        <f t="shared" si="9"/>
        <v/>
      </c>
    </row>
    <row r="626" spans="2:9" x14ac:dyDescent="0.25">
      <c r="B626" s="24" t="str">
        <f>IFERROR(INDEX(Activos!$B$3:$C$11, MATCH(C626,Activos!$B$3:$B$11),2),"")</f>
        <v/>
      </c>
      <c r="C626" s="24"/>
      <c r="D626" s="24"/>
      <c r="E626" s="23"/>
      <c r="F626" t="str">
        <f>IF(E626='Tablas AR'!$B$4,1,IF('Análisis de Riesgos'!E626='Tablas AR'!$B$5,2,IF('Análisis de Riesgos'!E626='Tablas AR'!$B$6,3,"")))</f>
        <v/>
      </c>
      <c r="G626" s="23"/>
      <c r="H626" t="str">
        <f>IF(G626='Tablas AR'!$B$10,1,IF('Análisis de Riesgos'!G626='Tablas AR'!$B$11,2,IF('Análisis de Riesgos'!G626='Tablas AR'!$B$12,3,"")))</f>
        <v/>
      </c>
      <c r="I626" t="str">
        <f t="shared" si="9"/>
        <v/>
      </c>
    </row>
    <row r="627" spans="2:9" x14ac:dyDescent="0.25">
      <c r="B627" s="24" t="str">
        <f>IFERROR(INDEX(Activos!$B$3:$C$11, MATCH(C627,Activos!$B$3:$B$11),2),"")</f>
        <v/>
      </c>
      <c r="C627" s="24"/>
      <c r="D627" s="24"/>
      <c r="E627" s="23"/>
      <c r="F627" t="str">
        <f>IF(E627='Tablas AR'!$B$4,1,IF('Análisis de Riesgos'!E627='Tablas AR'!$B$5,2,IF('Análisis de Riesgos'!E627='Tablas AR'!$B$6,3,"")))</f>
        <v/>
      </c>
      <c r="G627" s="23"/>
      <c r="H627" t="str">
        <f>IF(G627='Tablas AR'!$B$10,1,IF('Análisis de Riesgos'!G627='Tablas AR'!$B$11,2,IF('Análisis de Riesgos'!G627='Tablas AR'!$B$12,3,"")))</f>
        <v/>
      </c>
      <c r="I627" t="str">
        <f t="shared" si="9"/>
        <v/>
      </c>
    </row>
    <row r="628" spans="2:9" x14ac:dyDescent="0.25">
      <c r="B628" s="24" t="str">
        <f>IFERROR(INDEX(Activos!$B$3:$C$11, MATCH(C628,Activos!$B$3:$B$11),2),"")</f>
        <v/>
      </c>
      <c r="C628" s="24"/>
      <c r="D628" s="24"/>
      <c r="E628" s="23"/>
      <c r="F628" t="str">
        <f>IF(E628='Tablas AR'!$B$4,1,IF('Análisis de Riesgos'!E628='Tablas AR'!$B$5,2,IF('Análisis de Riesgos'!E628='Tablas AR'!$B$6,3,"")))</f>
        <v/>
      </c>
      <c r="G628" s="23"/>
      <c r="H628" t="str">
        <f>IF(G628='Tablas AR'!$B$10,1,IF('Análisis de Riesgos'!G628='Tablas AR'!$B$11,2,IF('Análisis de Riesgos'!G628='Tablas AR'!$B$12,3,"")))</f>
        <v/>
      </c>
      <c r="I628" t="str">
        <f t="shared" si="9"/>
        <v/>
      </c>
    </row>
    <row r="629" spans="2:9" x14ac:dyDescent="0.25">
      <c r="B629" s="24" t="str">
        <f>IFERROR(INDEX(Activos!$B$3:$C$11, MATCH(C629,Activos!$B$3:$B$11),2),"")</f>
        <v/>
      </c>
      <c r="C629" s="24"/>
      <c r="D629" s="24"/>
      <c r="E629" s="23"/>
      <c r="F629" t="str">
        <f>IF(E629='Tablas AR'!$B$4,1,IF('Análisis de Riesgos'!E629='Tablas AR'!$B$5,2,IF('Análisis de Riesgos'!E629='Tablas AR'!$B$6,3,"")))</f>
        <v/>
      </c>
      <c r="G629" s="23"/>
      <c r="H629" t="str">
        <f>IF(G629='Tablas AR'!$B$10,1,IF('Análisis de Riesgos'!G629='Tablas AR'!$B$11,2,IF('Análisis de Riesgos'!G629='Tablas AR'!$B$12,3,"")))</f>
        <v/>
      </c>
      <c r="I629" t="str">
        <f t="shared" si="9"/>
        <v/>
      </c>
    </row>
    <row r="630" spans="2:9" x14ac:dyDescent="0.25">
      <c r="B630" s="24" t="str">
        <f>IFERROR(INDEX(Activos!$B$3:$C$11, MATCH(C630,Activos!$B$3:$B$11),2),"")</f>
        <v/>
      </c>
      <c r="C630" s="24"/>
      <c r="D630" s="24"/>
      <c r="E630" s="23"/>
      <c r="F630" t="str">
        <f>IF(E630='Tablas AR'!$B$4,1,IF('Análisis de Riesgos'!E630='Tablas AR'!$B$5,2,IF('Análisis de Riesgos'!E630='Tablas AR'!$B$6,3,"")))</f>
        <v/>
      </c>
      <c r="G630" s="23"/>
      <c r="H630" t="str">
        <f>IF(G630='Tablas AR'!$B$10,1,IF('Análisis de Riesgos'!G630='Tablas AR'!$B$11,2,IF('Análisis de Riesgos'!G630='Tablas AR'!$B$12,3,"")))</f>
        <v/>
      </c>
      <c r="I630" t="str">
        <f t="shared" si="9"/>
        <v/>
      </c>
    </row>
    <row r="631" spans="2:9" x14ac:dyDescent="0.25">
      <c r="B631" s="24" t="str">
        <f>IFERROR(INDEX(Activos!$B$3:$C$11, MATCH(C631,Activos!$B$3:$B$11),2),"")</f>
        <v/>
      </c>
      <c r="C631" s="24"/>
      <c r="D631" s="24"/>
      <c r="E631" s="23"/>
      <c r="F631" t="str">
        <f>IF(E631='Tablas AR'!$B$4,1,IF('Análisis de Riesgos'!E631='Tablas AR'!$B$5,2,IF('Análisis de Riesgos'!E631='Tablas AR'!$B$6,3,"")))</f>
        <v/>
      </c>
      <c r="G631" s="23"/>
      <c r="H631" t="str">
        <f>IF(G631='Tablas AR'!$B$10,1,IF('Análisis de Riesgos'!G631='Tablas AR'!$B$11,2,IF('Análisis de Riesgos'!G631='Tablas AR'!$B$12,3,"")))</f>
        <v/>
      </c>
      <c r="I631" t="str">
        <f t="shared" si="9"/>
        <v/>
      </c>
    </row>
    <row r="632" spans="2:9" x14ac:dyDescent="0.25">
      <c r="B632" s="24" t="str">
        <f>IFERROR(INDEX(Activos!$B$3:$C$11, MATCH(C632,Activos!$B$3:$B$11),2),"")</f>
        <v/>
      </c>
      <c r="C632" s="24"/>
      <c r="D632" s="24"/>
      <c r="E632" s="23"/>
      <c r="F632" t="str">
        <f>IF(E632='Tablas AR'!$B$4,1,IF('Análisis de Riesgos'!E632='Tablas AR'!$B$5,2,IF('Análisis de Riesgos'!E632='Tablas AR'!$B$6,3,"")))</f>
        <v/>
      </c>
      <c r="G632" s="23"/>
      <c r="H632" t="str">
        <f>IF(G632='Tablas AR'!$B$10,1,IF('Análisis de Riesgos'!G632='Tablas AR'!$B$11,2,IF('Análisis de Riesgos'!G632='Tablas AR'!$B$12,3,"")))</f>
        <v/>
      </c>
      <c r="I632" t="str">
        <f t="shared" si="9"/>
        <v/>
      </c>
    </row>
    <row r="633" spans="2:9" x14ac:dyDescent="0.25">
      <c r="B633" s="24" t="str">
        <f>IFERROR(INDEX(Activos!$B$3:$C$11, MATCH(C633,Activos!$B$3:$B$11),2),"")</f>
        <v/>
      </c>
      <c r="C633" s="24"/>
      <c r="D633" s="24"/>
      <c r="E633" s="23"/>
      <c r="F633" t="str">
        <f>IF(E633='Tablas AR'!$B$4,1,IF('Análisis de Riesgos'!E633='Tablas AR'!$B$5,2,IF('Análisis de Riesgos'!E633='Tablas AR'!$B$6,3,"")))</f>
        <v/>
      </c>
      <c r="G633" s="23"/>
      <c r="H633" t="str">
        <f>IF(G633='Tablas AR'!$B$10,1,IF('Análisis de Riesgos'!G633='Tablas AR'!$B$11,2,IF('Análisis de Riesgos'!G633='Tablas AR'!$B$12,3,"")))</f>
        <v/>
      </c>
      <c r="I633" t="str">
        <f t="shared" si="9"/>
        <v/>
      </c>
    </row>
    <row r="634" spans="2:9" x14ac:dyDescent="0.25">
      <c r="B634" s="24" t="str">
        <f>IFERROR(INDEX(Activos!$B$3:$C$11, MATCH(C634,Activos!$B$3:$B$11),2),"")</f>
        <v/>
      </c>
      <c r="C634" s="24"/>
      <c r="D634" s="24"/>
      <c r="E634" s="23"/>
      <c r="F634" t="str">
        <f>IF(E634='Tablas AR'!$B$4,1,IF('Análisis de Riesgos'!E634='Tablas AR'!$B$5,2,IF('Análisis de Riesgos'!E634='Tablas AR'!$B$6,3,"")))</f>
        <v/>
      </c>
      <c r="G634" s="23"/>
      <c r="H634" t="str">
        <f>IF(G634='Tablas AR'!$B$10,1,IF('Análisis de Riesgos'!G634='Tablas AR'!$B$11,2,IF('Análisis de Riesgos'!G634='Tablas AR'!$B$12,3,"")))</f>
        <v/>
      </c>
      <c r="I634" t="str">
        <f t="shared" si="9"/>
        <v/>
      </c>
    </row>
    <row r="635" spans="2:9" x14ac:dyDescent="0.25">
      <c r="B635" s="24" t="str">
        <f>IFERROR(INDEX(Activos!$B$3:$C$11, MATCH(C635,Activos!$B$3:$B$11),2),"")</f>
        <v/>
      </c>
      <c r="C635" s="24"/>
      <c r="D635" s="24"/>
      <c r="E635" s="23"/>
      <c r="F635" t="str">
        <f>IF(E635='Tablas AR'!$B$4,1,IF('Análisis de Riesgos'!E635='Tablas AR'!$B$5,2,IF('Análisis de Riesgos'!E635='Tablas AR'!$B$6,3,"")))</f>
        <v/>
      </c>
      <c r="G635" s="23"/>
      <c r="H635" t="str">
        <f>IF(G635='Tablas AR'!$B$10,1,IF('Análisis de Riesgos'!G635='Tablas AR'!$B$11,2,IF('Análisis de Riesgos'!G635='Tablas AR'!$B$12,3,"")))</f>
        <v/>
      </c>
      <c r="I635" t="str">
        <f t="shared" si="9"/>
        <v/>
      </c>
    </row>
    <row r="636" spans="2:9" x14ac:dyDescent="0.25">
      <c r="B636" s="24" t="str">
        <f>IFERROR(INDEX(Activos!$B$3:$C$11, MATCH(C636,Activos!$B$3:$B$11),2),"")</f>
        <v/>
      </c>
      <c r="C636" s="24"/>
      <c r="D636" s="24"/>
      <c r="E636" s="23"/>
      <c r="F636" t="str">
        <f>IF(E636='Tablas AR'!$B$4,1,IF('Análisis de Riesgos'!E636='Tablas AR'!$B$5,2,IF('Análisis de Riesgos'!E636='Tablas AR'!$B$6,3,"")))</f>
        <v/>
      </c>
      <c r="G636" s="23"/>
      <c r="H636" t="str">
        <f>IF(G636='Tablas AR'!$B$10,1,IF('Análisis de Riesgos'!G636='Tablas AR'!$B$11,2,IF('Análisis de Riesgos'!G636='Tablas AR'!$B$12,3,"")))</f>
        <v/>
      </c>
      <c r="I636" t="str">
        <f t="shared" si="9"/>
        <v/>
      </c>
    </row>
    <row r="637" spans="2:9" x14ac:dyDescent="0.25">
      <c r="B637" s="24" t="str">
        <f>IFERROR(INDEX(Activos!$B$3:$C$11, MATCH(C637,Activos!$B$3:$B$11),2),"")</f>
        <v/>
      </c>
      <c r="C637" s="24"/>
      <c r="D637" s="24"/>
      <c r="E637" s="23"/>
      <c r="F637" t="str">
        <f>IF(E637='Tablas AR'!$B$4,1,IF('Análisis de Riesgos'!E637='Tablas AR'!$B$5,2,IF('Análisis de Riesgos'!E637='Tablas AR'!$B$6,3,"")))</f>
        <v/>
      </c>
      <c r="G637" s="23"/>
      <c r="H637" t="str">
        <f>IF(G637='Tablas AR'!$B$10,1,IF('Análisis de Riesgos'!G637='Tablas AR'!$B$11,2,IF('Análisis de Riesgos'!G637='Tablas AR'!$B$12,3,"")))</f>
        <v/>
      </c>
      <c r="I637" t="str">
        <f t="shared" si="9"/>
        <v/>
      </c>
    </row>
    <row r="638" spans="2:9" x14ac:dyDescent="0.25">
      <c r="B638" s="24" t="str">
        <f>IFERROR(INDEX(Activos!$B$3:$C$11, MATCH(C638,Activos!$B$3:$B$11),2),"")</f>
        <v/>
      </c>
      <c r="C638" s="24"/>
      <c r="D638" s="24"/>
      <c r="E638" s="23"/>
      <c r="F638" t="str">
        <f>IF(E638='Tablas AR'!$B$4,1,IF('Análisis de Riesgos'!E638='Tablas AR'!$B$5,2,IF('Análisis de Riesgos'!E638='Tablas AR'!$B$6,3,"")))</f>
        <v/>
      </c>
      <c r="G638" s="23"/>
      <c r="H638" t="str">
        <f>IF(G638='Tablas AR'!$B$10,1,IF('Análisis de Riesgos'!G638='Tablas AR'!$B$11,2,IF('Análisis de Riesgos'!G638='Tablas AR'!$B$12,3,"")))</f>
        <v/>
      </c>
      <c r="I638" t="str">
        <f t="shared" si="9"/>
        <v/>
      </c>
    </row>
    <row r="639" spans="2:9" x14ac:dyDescent="0.25">
      <c r="B639" s="24" t="str">
        <f>IFERROR(INDEX(Activos!$B$3:$C$11, MATCH(C639,Activos!$B$3:$B$11),2),"")</f>
        <v/>
      </c>
      <c r="C639" s="24"/>
      <c r="D639" s="24"/>
      <c r="E639" s="23"/>
      <c r="F639" t="str">
        <f>IF(E639='Tablas AR'!$B$4,1,IF('Análisis de Riesgos'!E639='Tablas AR'!$B$5,2,IF('Análisis de Riesgos'!E639='Tablas AR'!$B$6,3,"")))</f>
        <v/>
      </c>
      <c r="G639" s="23"/>
      <c r="H639" t="str">
        <f>IF(G639='Tablas AR'!$B$10,1,IF('Análisis de Riesgos'!G639='Tablas AR'!$B$11,2,IF('Análisis de Riesgos'!G639='Tablas AR'!$B$12,3,"")))</f>
        <v/>
      </c>
      <c r="I639" t="str">
        <f t="shared" si="9"/>
        <v/>
      </c>
    </row>
    <row r="640" spans="2:9" x14ac:dyDescent="0.25">
      <c r="B640" s="24" t="str">
        <f>IFERROR(INDEX(Activos!$B$3:$C$11, MATCH(C640,Activos!$B$3:$B$11),2),"")</f>
        <v/>
      </c>
      <c r="C640" s="24"/>
      <c r="D640" s="24"/>
      <c r="E640" s="23"/>
      <c r="F640" t="str">
        <f>IF(E640='Tablas AR'!$B$4,1,IF('Análisis de Riesgos'!E640='Tablas AR'!$B$5,2,IF('Análisis de Riesgos'!E640='Tablas AR'!$B$6,3,"")))</f>
        <v/>
      </c>
      <c r="G640" s="23"/>
      <c r="H640" t="str">
        <f>IF(G640='Tablas AR'!$B$10,1,IF('Análisis de Riesgos'!G640='Tablas AR'!$B$11,2,IF('Análisis de Riesgos'!G640='Tablas AR'!$B$12,3,"")))</f>
        <v/>
      </c>
      <c r="I640" t="str">
        <f t="shared" si="9"/>
        <v/>
      </c>
    </row>
    <row r="641" spans="2:9" x14ac:dyDescent="0.25">
      <c r="B641" s="24" t="str">
        <f>IFERROR(INDEX(Activos!$B$3:$C$11, MATCH(C641,Activos!$B$3:$B$11),2),"")</f>
        <v/>
      </c>
      <c r="C641" s="24"/>
      <c r="D641" s="24"/>
      <c r="E641" s="23"/>
      <c r="F641" t="str">
        <f>IF(E641='Tablas AR'!$B$4,1,IF('Análisis de Riesgos'!E641='Tablas AR'!$B$5,2,IF('Análisis de Riesgos'!E641='Tablas AR'!$B$6,3,"")))</f>
        <v/>
      </c>
      <c r="G641" s="23"/>
      <c r="H641" t="str">
        <f>IF(G641='Tablas AR'!$B$10,1,IF('Análisis de Riesgos'!G641='Tablas AR'!$B$11,2,IF('Análisis de Riesgos'!G641='Tablas AR'!$B$12,3,"")))</f>
        <v/>
      </c>
      <c r="I641" t="str">
        <f t="shared" si="9"/>
        <v/>
      </c>
    </row>
    <row r="642" spans="2:9" x14ac:dyDescent="0.25">
      <c r="B642" s="24" t="str">
        <f>IFERROR(INDEX(Activos!$B$3:$C$11, MATCH(C642,Activos!$B$3:$B$11),2),"")</f>
        <v/>
      </c>
      <c r="C642" s="24"/>
      <c r="D642" s="24"/>
      <c r="E642" s="23"/>
      <c r="F642" t="str">
        <f>IF(E642='Tablas AR'!$B$4,1,IF('Análisis de Riesgos'!E642='Tablas AR'!$B$5,2,IF('Análisis de Riesgos'!E642='Tablas AR'!$B$6,3,"")))</f>
        <v/>
      </c>
      <c r="G642" s="23"/>
      <c r="H642" t="str">
        <f>IF(G642='Tablas AR'!$B$10,1,IF('Análisis de Riesgos'!G642='Tablas AR'!$B$11,2,IF('Análisis de Riesgos'!G642='Tablas AR'!$B$12,3,"")))</f>
        <v/>
      </c>
      <c r="I642" t="str">
        <f t="shared" si="9"/>
        <v/>
      </c>
    </row>
    <row r="643" spans="2:9" x14ac:dyDescent="0.25">
      <c r="B643" s="24" t="str">
        <f>IFERROR(INDEX(Activos!$B$3:$C$11, MATCH(C643,Activos!$B$3:$B$11),2),"")</f>
        <v/>
      </c>
      <c r="C643" s="24"/>
      <c r="D643" s="24"/>
      <c r="E643" s="23"/>
      <c r="F643" t="str">
        <f>IF(E643='Tablas AR'!$B$4,1,IF('Análisis de Riesgos'!E643='Tablas AR'!$B$5,2,IF('Análisis de Riesgos'!E643='Tablas AR'!$B$6,3,"")))</f>
        <v/>
      </c>
      <c r="G643" s="23"/>
      <c r="H643" t="str">
        <f>IF(G643='Tablas AR'!$B$10,1,IF('Análisis de Riesgos'!G643='Tablas AR'!$B$11,2,IF('Análisis de Riesgos'!G643='Tablas AR'!$B$12,3,"")))</f>
        <v/>
      </c>
      <c r="I643" t="str">
        <f t="shared" si="9"/>
        <v/>
      </c>
    </row>
    <row r="644" spans="2:9" x14ac:dyDescent="0.25">
      <c r="B644" s="24" t="str">
        <f>IFERROR(INDEX(Activos!$B$3:$C$11, MATCH(C644,Activos!$B$3:$B$11),2),"")</f>
        <v/>
      </c>
      <c r="C644" s="24"/>
      <c r="D644" s="24"/>
      <c r="E644" s="23"/>
      <c r="F644" t="str">
        <f>IF(E644='Tablas AR'!$B$4,1,IF('Análisis de Riesgos'!E644='Tablas AR'!$B$5,2,IF('Análisis de Riesgos'!E644='Tablas AR'!$B$6,3,"")))</f>
        <v/>
      </c>
      <c r="G644" s="23"/>
      <c r="H644" t="str">
        <f>IF(G644='Tablas AR'!$B$10,1,IF('Análisis de Riesgos'!G644='Tablas AR'!$B$11,2,IF('Análisis de Riesgos'!G644='Tablas AR'!$B$12,3,"")))</f>
        <v/>
      </c>
      <c r="I644" t="str">
        <f t="shared" ref="I644:I707" si="10" xml:space="preserve"> IFERROR(F644*H644,"")</f>
        <v/>
      </c>
    </row>
    <row r="645" spans="2:9" x14ac:dyDescent="0.25">
      <c r="B645" s="24" t="str">
        <f>IFERROR(INDEX(Activos!$B$3:$C$11, MATCH(C645,Activos!$B$3:$B$11),2),"")</f>
        <v/>
      </c>
      <c r="C645" s="24"/>
      <c r="D645" s="24"/>
      <c r="E645" s="23"/>
      <c r="F645" t="str">
        <f>IF(E645='Tablas AR'!$B$4,1,IF('Análisis de Riesgos'!E645='Tablas AR'!$B$5,2,IF('Análisis de Riesgos'!E645='Tablas AR'!$B$6,3,"")))</f>
        <v/>
      </c>
      <c r="G645" s="23"/>
      <c r="H645" t="str">
        <f>IF(G645='Tablas AR'!$B$10,1,IF('Análisis de Riesgos'!G645='Tablas AR'!$B$11,2,IF('Análisis de Riesgos'!G645='Tablas AR'!$B$12,3,"")))</f>
        <v/>
      </c>
      <c r="I645" t="str">
        <f t="shared" si="10"/>
        <v/>
      </c>
    </row>
    <row r="646" spans="2:9" x14ac:dyDescent="0.25">
      <c r="B646" s="24" t="str">
        <f>IFERROR(INDEX(Activos!$B$3:$C$11, MATCH(C646,Activos!$B$3:$B$11),2),"")</f>
        <v/>
      </c>
      <c r="C646" s="24"/>
      <c r="D646" s="24"/>
      <c r="E646" s="23"/>
      <c r="F646" t="str">
        <f>IF(E646='Tablas AR'!$B$4,1,IF('Análisis de Riesgos'!E646='Tablas AR'!$B$5,2,IF('Análisis de Riesgos'!E646='Tablas AR'!$B$6,3,"")))</f>
        <v/>
      </c>
      <c r="G646" s="23"/>
      <c r="H646" t="str">
        <f>IF(G646='Tablas AR'!$B$10,1,IF('Análisis de Riesgos'!G646='Tablas AR'!$B$11,2,IF('Análisis de Riesgos'!G646='Tablas AR'!$B$12,3,"")))</f>
        <v/>
      </c>
      <c r="I646" t="str">
        <f t="shared" si="10"/>
        <v/>
      </c>
    </row>
    <row r="647" spans="2:9" x14ac:dyDescent="0.25">
      <c r="B647" s="24" t="str">
        <f>IFERROR(INDEX(Activos!$B$3:$C$11, MATCH(C647,Activos!$B$3:$B$11),2),"")</f>
        <v/>
      </c>
      <c r="C647" s="24"/>
      <c r="D647" s="24"/>
      <c r="E647" s="23"/>
      <c r="F647" t="str">
        <f>IF(E647='Tablas AR'!$B$4,1,IF('Análisis de Riesgos'!E647='Tablas AR'!$B$5,2,IF('Análisis de Riesgos'!E647='Tablas AR'!$B$6,3,"")))</f>
        <v/>
      </c>
      <c r="G647" s="23"/>
      <c r="H647" t="str">
        <f>IF(G647='Tablas AR'!$B$10,1,IF('Análisis de Riesgos'!G647='Tablas AR'!$B$11,2,IF('Análisis de Riesgos'!G647='Tablas AR'!$B$12,3,"")))</f>
        <v/>
      </c>
      <c r="I647" t="str">
        <f t="shared" si="10"/>
        <v/>
      </c>
    </row>
    <row r="648" spans="2:9" x14ac:dyDescent="0.25">
      <c r="B648" s="24" t="str">
        <f>IFERROR(INDEX(Activos!$B$3:$C$11, MATCH(C648,Activos!$B$3:$B$11),2),"")</f>
        <v/>
      </c>
      <c r="C648" s="24"/>
      <c r="D648" s="24"/>
      <c r="E648" s="23"/>
      <c r="F648" t="str">
        <f>IF(E648='Tablas AR'!$B$4,1,IF('Análisis de Riesgos'!E648='Tablas AR'!$B$5,2,IF('Análisis de Riesgos'!E648='Tablas AR'!$B$6,3,"")))</f>
        <v/>
      </c>
      <c r="G648" s="23"/>
      <c r="H648" t="str">
        <f>IF(G648='Tablas AR'!$B$10,1,IF('Análisis de Riesgos'!G648='Tablas AR'!$B$11,2,IF('Análisis de Riesgos'!G648='Tablas AR'!$B$12,3,"")))</f>
        <v/>
      </c>
      <c r="I648" t="str">
        <f t="shared" si="10"/>
        <v/>
      </c>
    </row>
    <row r="649" spans="2:9" x14ac:dyDescent="0.25">
      <c r="B649" s="24" t="str">
        <f>IFERROR(INDEX(Activos!$B$3:$C$11, MATCH(C649,Activos!$B$3:$B$11),2),"")</f>
        <v/>
      </c>
      <c r="C649" s="24"/>
      <c r="D649" s="24"/>
      <c r="E649" s="23"/>
      <c r="F649" t="str">
        <f>IF(E649='Tablas AR'!$B$4,1,IF('Análisis de Riesgos'!E649='Tablas AR'!$B$5,2,IF('Análisis de Riesgos'!E649='Tablas AR'!$B$6,3,"")))</f>
        <v/>
      </c>
      <c r="G649" s="23"/>
      <c r="H649" t="str">
        <f>IF(G649='Tablas AR'!$B$10,1,IF('Análisis de Riesgos'!G649='Tablas AR'!$B$11,2,IF('Análisis de Riesgos'!G649='Tablas AR'!$B$12,3,"")))</f>
        <v/>
      </c>
      <c r="I649" t="str">
        <f t="shared" si="10"/>
        <v/>
      </c>
    </row>
    <row r="650" spans="2:9" x14ac:dyDescent="0.25">
      <c r="B650" s="24" t="str">
        <f>IFERROR(INDEX(Activos!$B$3:$C$11, MATCH(C650,Activos!$B$3:$B$11),2),"")</f>
        <v/>
      </c>
      <c r="C650" s="24"/>
      <c r="D650" s="24"/>
      <c r="E650" s="23"/>
      <c r="F650" t="str">
        <f>IF(E650='Tablas AR'!$B$4,1,IF('Análisis de Riesgos'!E650='Tablas AR'!$B$5,2,IF('Análisis de Riesgos'!E650='Tablas AR'!$B$6,3,"")))</f>
        <v/>
      </c>
      <c r="G650" s="23"/>
      <c r="H650" t="str">
        <f>IF(G650='Tablas AR'!$B$10,1,IF('Análisis de Riesgos'!G650='Tablas AR'!$B$11,2,IF('Análisis de Riesgos'!G650='Tablas AR'!$B$12,3,"")))</f>
        <v/>
      </c>
      <c r="I650" t="str">
        <f t="shared" si="10"/>
        <v/>
      </c>
    </row>
    <row r="651" spans="2:9" x14ac:dyDescent="0.25">
      <c r="B651" s="24" t="str">
        <f>IFERROR(INDEX(Activos!$B$3:$C$11, MATCH(C651,Activos!$B$3:$B$11),2),"")</f>
        <v/>
      </c>
      <c r="C651" s="24"/>
      <c r="D651" s="24"/>
      <c r="E651" s="23"/>
      <c r="F651" t="str">
        <f>IF(E651='Tablas AR'!$B$4,1,IF('Análisis de Riesgos'!E651='Tablas AR'!$B$5,2,IF('Análisis de Riesgos'!E651='Tablas AR'!$B$6,3,"")))</f>
        <v/>
      </c>
      <c r="G651" s="23"/>
      <c r="H651" t="str">
        <f>IF(G651='Tablas AR'!$B$10,1,IF('Análisis de Riesgos'!G651='Tablas AR'!$B$11,2,IF('Análisis de Riesgos'!G651='Tablas AR'!$B$12,3,"")))</f>
        <v/>
      </c>
      <c r="I651" t="str">
        <f t="shared" si="10"/>
        <v/>
      </c>
    </row>
    <row r="652" spans="2:9" x14ac:dyDescent="0.25">
      <c r="B652" s="24" t="str">
        <f>IFERROR(INDEX(Activos!$B$3:$C$11, MATCH(C652,Activos!$B$3:$B$11),2),"")</f>
        <v/>
      </c>
      <c r="C652" s="24"/>
      <c r="D652" s="24"/>
      <c r="E652" s="23"/>
      <c r="F652" t="str">
        <f>IF(E652='Tablas AR'!$B$4,1,IF('Análisis de Riesgos'!E652='Tablas AR'!$B$5,2,IF('Análisis de Riesgos'!E652='Tablas AR'!$B$6,3,"")))</f>
        <v/>
      </c>
      <c r="G652" s="23"/>
      <c r="H652" t="str">
        <f>IF(G652='Tablas AR'!$B$10,1,IF('Análisis de Riesgos'!G652='Tablas AR'!$B$11,2,IF('Análisis de Riesgos'!G652='Tablas AR'!$B$12,3,"")))</f>
        <v/>
      </c>
      <c r="I652" t="str">
        <f t="shared" si="10"/>
        <v/>
      </c>
    </row>
    <row r="653" spans="2:9" x14ac:dyDescent="0.25">
      <c r="B653" s="24" t="str">
        <f>IFERROR(INDEX(Activos!$B$3:$C$11, MATCH(C653,Activos!$B$3:$B$11),2),"")</f>
        <v/>
      </c>
      <c r="C653" s="24"/>
      <c r="D653" s="24"/>
      <c r="E653" s="23"/>
      <c r="F653" t="str">
        <f>IF(E653='Tablas AR'!$B$4,1,IF('Análisis de Riesgos'!E653='Tablas AR'!$B$5,2,IF('Análisis de Riesgos'!E653='Tablas AR'!$B$6,3,"")))</f>
        <v/>
      </c>
      <c r="G653" s="23"/>
      <c r="H653" t="str">
        <f>IF(G653='Tablas AR'!$B$10,1,IF('Análisis de Riesgos'!G653='Tablas AR'!$B$11,2,IF('Análisis de Riesgos'!G653='Tablas AR'!$B$12,3,"")))</f>
        <v/>
      </c>
      <c r="I653" t="str">
        <f t="shared" si="10"/>
        <v/>
      </c>
    </row>
    <row r="654" spans="2:9" x14ac:dyDescent="0.25">
      <c r="B654" s="24" t="str">
        <f>IFERROR(INDEX(Activos!$B$3:$C$11, MATCH(C654,Activos!$B$3:$B$11),2),"")</f>
        <v/>
      </c>
      <c r="C654" s="24"/>
      <c r="D654" s="24"/>
      <c r="E654" s="23"/>
      <c r="F654" t="str">
        <f>IF(E654='Tablas AR'!$B$4,1,IF('Análisis de Riesgos'!E654='Tablas AR'!$B$5,2,IF('Análisis de Riesgos'!E654='Tablas AR'!$B$6,3,"")))</f>
        <v/>
      </c>
      <c r="G654" s="23"/>
      <c r="H654" t="str">
        <f>IF(G654='Tablas AR'!$B$10,1,IF('Análisis de Riesgos'!G654='Tablas AR'!$B$11,2,IF('Análisis de Riesgos'!G654='Tablas AR'!$B$12,3,"")))</f>
        <v/>
      </c>
      <c r="I654" t="str">
        <f t="shared" si="10"/>
        <v/>
      </c>
    </row>
    <row r="655" spans="2:9" x14ac:dyDescent="0.25">
      <c r="B655" s="24" t="str">
        <f>IFERROR(INDEX(Activos!$B$3:$C$11, MATCH(C655,Activos!$B$3:$B$11),2),"")</f>
        <v/>
      </c>
      <c r="C655" s="24"/>
      <c r="D655" s="24"/>
      <c r="E655" s="23"/>
      <c r="F655" t="str">
        <f>IF(E655='Tablas AR'!$B$4,1,IF('Análisis de Riesgos'!E655='Tablas AR'!$B$5,2,IF('Análisis de Riesgos'!E655='Tablas AR'!$B$6,3,"")))</f>
        <v/>
      </c>
      <c r="G655" s="23"/>
      <c r="H655" t="str">
        <f>IF(G655='Tablas AR'!$B$10,1,IF('Análisis de Riesgos'!G655='Tablas AR'!$B$11,2,IF('Análisis de Riesgos'!G655='Tablas AR'!$B$12,3,"")))</f>
        <v/>
      </c>
      <c r="I655" t="str">
        <f t="shared" si="10"/>
        <v/>
      </c>
    </row>
    <row r="656" spans="2:9" x14ac:dyDescent="0.25">
      <c r="B656" s="24" t="str">
        <f>IFERROR(INDEX(Activos!$B$3:$C$11, MATCH(C656,Activos!$B$3:$B$11),2),"")</f>
        <v/>
      </c>
      <c r="C656" s="24"/>
      <c r="D656" s="24"/>
      <c r="E656" s="23"/>
      <c r="F656" t="str">
        <f>IF(E656='Tablas AR'!$B$4,1,IF('Análisis de Riesgos'!E656='Tablas AR'!$B$5,2,IF('Análisis de Riesgos'!E656='Tablas AR'!$B$6,3,"")))</f>
        <v/>
      </c>
      <c r="G656" s="23"/>
      <c r="H656" t="str">
        <f>IF(G656='Tablas AR'!$B$10,1,IF('Análisis de Riesgos'!G656='Tablas AR'!$B$11,2,IF('Análisis de Riesgos'!G656='Tablas AR'!$B$12,3,"")))</f>
        <v/>
      </c>
      <c r="I656" t="str">
        <f t="shared" si="10"/>
        <v/>
      </c>
    </row>
    <row r="657" spans="2:9" x14ac:dyDescent="0.25">
      <c r="B657" s="24" t="str">
        <f>IFERROR(INDEX(Activos!$B$3:$C$11, MATCH(C657,Activos!$B$3:$B$11),2),"")</f>
        <v/>
      </c>
      <c r="C657" s="24"/>
      <c r="D657" s="24"/>
      <c r="E657" s="23"/>
      <c r="F657" t="str">
        <f>IF(E657='Tablas AR'!$B$4,1,IF('Análisis de Riesgos'!E657='Tablas AR'!$B$5,2,IF('Análisis de Riesgos'!E657='Tablas AR'!$B$6,3,"")))</f>
        <v/>
      </c>
      <c r="G657" s="23"/>
      <c r="H657" t="str">
        <f>IF(G657='Tablas AR'!$B$10,1,IF('Análisis de Riesgos'!G657='Tablas AR'!$B$11,2,IF('Análisis de Riesgos'!G657='Tablas AR'!$B$12,3,"")))</f>
        <v/>
      </c>
      <c r="I657" t="str">
        <f t="shared" si="10"/>
        <v/>
      </c>
    </row>
    <row r="658" spans="2:9" x14ac:dyDescent="0.25">
      <c r="B658" s="24" t="str">
        <f>IFERROR(INDEX(Activos!$B$3:$C$11, MATCH(C658,Activos!$B$3:$B$11),2),"")</f>
        <v/>
      </c>
      <c r="C658" s="24"/>
      <c r="D658" s="24"/>
      <c r="E658" s="23"/>
      <c r="F658" t="str">
        <f>IF(E658='Tablas AR'!$B$4,1,IF('Análisis de Riesgos'!E658='Tablas AR'!$B$5,2,IF('Análisis de Riesgos'!E658='Tablas AR'!$B$6,3,"")))</f>
        <v/>
      </c>
      <c r="G658" s="23"/>
      <c r="H658" t="str">
        <f>IF(G658='Tablas AR'!$B$10,1,IF('Análisis de Riesgos'!G658='Tablas AR'!$B$11,2,IF('Análisis de Riesgos'!G658='Tablas AR'!$B$12,3,"")))</f>
        <v/>
      </c>
      <c r="I658" t="str">
        <f t="shared" si="10"/>
        <v/>
      </c>
    </row>
    <row r="659" spans="2:9" x14ac:dyDescent="0.25">
      <c r="B659" s="24" t="str">
        <f>IFERROR(INDEX(Activos!$B$3:$C$11, MATCH(C659,Activos!$B$3:$B$11),2),"")</f>
        <v/>
      </c>
      <c r="C659" s="24"/>
      <c r="D659" s="24"/>
      <c r="E659" s="23"/>
      <c r="F659" t="str">
        <f>IF(E659='Tablas AR'!$B$4,1,IF('Análisis de Riesgos'!E659='Tablas AR'!$B$5,2,IF('Análisis de Riesgos'!E659='Tablas AR'!$B$6,3,"")))</f>
        <v/>
      </c>
      <c r="G659" s="23"/>
      <c r="H659" t="str">
        <f>IF(G659='Tablas AR'!$B$10,1,IF('Análisis de Riesgos'!G659='Tablas AR'!$B$11,2,IF('Análisis de Riesgos'!G659='Tablas AR'!$B$12,3,"")))</f>
        <v/>
      </c>
      <c r="I659" t="str">
        <f t="shared" si="10"/>
        <v/>
      </c>
    </row>
    <row r="660" spans="2:9" x14ac:dyDescent="0.25">
      <c r="B660" s="24" t="str">
        <f>IFERROR(INDEX(Activos!$B$3:$C$11, MATCH(C660,Activos!$B$3:$B$11),2),"")</f>
        <v/>
      </c>
      <c r="C660" s="24"/>
      <c r="D660" s="24"/>
      <c r="E660" s="23"/>
      <c r="F660" t="str">
        <f>IF(E660='Tablas AR'!$B$4,1,IF('Análisis de Riesgos'!E660='Tablas AR'!$B$5,2,IF('Análisis de Riesgos'!E660='Tablas AR'!$B$6,3,"")))</f>
        <v/>
      </c>
      <c r="G660" s="23"/>
      <c r="H660" t="str">
        <f>IF(G660='Tablas AR'!$B$10,1,IF('Análisis de Riesgos'!G660='Tablas AR'!$B$11,2,IF('Análisis de Riesgos'!G660='Tablas AR'!$B$12,3,"")))</f>
        <v/>
      </c>
      <c r="I660" t="str">
        <f t="shared" si="10"/>
        <v/>
      </c>
    </row>
    <row r="661" spans="2:9" x14ac:dyDescent="0.25">
      <c r="B661" s="24" t="str">
        <f>IFERROR(INDEX(Activos!$B$3:$C$11, MATCH(C661,Activos!$B$3:$B$11),2),"")</f>
        <v/>
      </c>
      <c r="C661" s="24"/>
      <c r="D661" s="24"/>
      <c r="E661" s="23"/>
      <c r="F661" t="str">
        <f>IF(E661='Tablas AR'!$B$4,1,IF('Análisis de Riesgos'!E661='Tablas AR'!$B$5,2,IF('Análisis de Riesgos'!E661='Tablas AR'!$B$6,3,"")))</f>
        <v/>
      </c>
      <c r="G661" s="23"/>
      <c r="H661" t="str">
        <f>IF(G661='Tablas AR'!$B$10,1,IF('Análisis de Riesgos'!G661='Tablas AR'!$B$11,2,IF('Análisis de Riesgos'!G661='Tablas AR'!$B$12,3,"")))</f>
        <v/>
      </c>
      <c r="I661" t="str">
        <f t="shared" si="10"/>
        <v/>
      </c>
    </row>
    <row r="662" spans="2:9" x14ac:dyDescent="0.25">
      <c r="B662" s="24" t="str">
        <f>IFERROR(INDEX(Activos!$B$3:$C$11, MATCH(C662,Activos!$B$3:$B$11),2),"")</f>
        <v/>
      </c>
      <c r="C662" s="24"/>
      <c r="D662" s="24"/>
      <c r="E662" s="23"/>
      <c r="F662" t="str">
        <f>IF(E662='Tablas AR'!$B$4,1,IF('Análisis de Riesgos'!E662='Tablas AR'!$B$5,2,IF('Análisis de Riesgos'!E662='Tablas AR'!$B$6,3,"")))</f>
        <v/>
      </c>
      <c r="G662" s="23"/>
      <c r="H662" t="str">
        <f>IF(G662='Tablas AR'!$B$10,1,IF('Análisis de Riesgos'!G662='Tablas AR'!$B$11,2,IF('Análisis de Riesgos'!G662='Tablas AR'!$B$12,3,"")))</f>
        <v/>
      </c>
      <c r="I662" t="str">
        <f t="shared" si="10"/>
        <v/>
      </c>
    </row>
    <row r="663" spans="2:9" x14ac:dyDescent="0.25">
      <c r="B663" s="24" t="str">
        <f>IFERROR(INDEX(Activos!$B$3:$C$11, MATCH(C663,Activos!$B$3:$B$11),2),"")</f>
        <v/>
      </c>
      <c r="C663" s="24"/>
      <c r="D663" s="24"/>
      <c r="E663" s="23"/>
      <c r="F663" t="str">
        <f>IF(E663='Tablas AR'!$B$4,1,IF('Análisis de Riesgos'!E663='Tablas AR'!$B$5,2,IF('Análisis de Riesgos'!E663='Tablas AR'!$B$6,3,"")))</f>
        <v/>
      </c>
      <c r="G663" s="23"/>
      <c r="H663" t="str">
        <f>IF(G663='Tablas AR'!$B$10,1,IF('Análisis de Riesgos'!G663='Tablas AR'!$B$11,2,IF('Análisis de Riesgos'!G663='Tablas AR'!$B$12,3,"")))</f>
        <v/>
      </c>
      <c r="I663" t="str">
        <f t="shared" si="10"/>
        <v/>
      </c>
    </row>
    <row r="664" spans="2:9" x14ac:dyDescent="0.25">
      <c r="B664" s="24" t="str">
        <f>IFERROR(INDEX(Activos!$B$3:$C$11, MATCH(C664,Activos!$B$3:$B$11),2),"")</f>
        <v/>
      </c>
      <c r="C664" s="24"/>
      <c r="D664" s="24"/>
      <c r="E664" s="23"/>
      <c r="F664" t="str">
        <f>IF(E664='Tablas AR'!$B$4,1,IF('Análisis de Riesgos'!E664='Tablas AR'!$B$5,2,IF('Análisis de Riesgos'!E664='Tablas AR'!$B$6,3,"")))</f>
        <v/>
      </c>
      <c r="G664" s="23"/>
      <c r="H664" t="str">
        <f>IF(G664='Tablas AR'!$B$10,1,IF('Análisis de Riesgos'!G664='Tablas AR'!$B$11,2,IF('Análisis de Riesgos'!G664='Tablas AR'!$B$12,3,"")))</f>
        <v/>
      </c>
      <c r="I664" t="str">
        <f t="shared" si="10"/>
        <v/>
      </c>
    </row>
    <row r="665" spans="2:9" x14ac:dyDescent="0.25">
      <c r="B665" s="24" t="str">
        <f>IFERROR(INDEX(Activos!$B$3:$C$11, MATCH(C665,Activos!$B$3:$B$11),2),"")</f>
        <v/>
      </c>
      <c r="C665" s="24"/>
      <c r="D665" s="24"/>
      <c r="E665" s="23"/>
      <c r="F665" t="str">
        <f>IF(E665='Tablas AR'!$B$4,1,IF('Análisis de Riesgos'!E665='Tablas AR'!$B$5,2,IF('Análisis de Riesgos'!E665='Tablas AR'!$B$6,3,"")))</f>
        <v/>
      </c>
      <c r="G665" s="23"/>
      <c r="H665" t="str">
        <f>IF(G665='Tablas AR'!$B$10,1,IF('Análisis de Riesgos'!G665='Tablas AR'!$B$11,2,IF('Análisis de Riesgos'!G665='Tablas AR'!$B$12,3,"")))</f>
        <v/>
      </c>
      <c r="I665" t="str">
        <f t="shared" si="10"/>
        <v/>
      </c>
    </row>
    <row r="666" spans="2:9" x14ac:dyDescent="0.25">
      <c r="B666" s="24" t="str">
        <f>IFERROR(INDEX(Activos!$B$3:$C$11, MATCH(C666,Activos!$B$3:$B$11),2),"")</f>
        <v/>
      </c>
      <c r="C666" s="24"/>
      <c r="D666" s="24"/>
      <c r="E666" s="23"/>
      <c r="F666" t="str">
        <f>IF(E666='Tablas AR'!$B$4,1,IF('Análisis de Riesgos'!E666='Tablas AR'!$B$5,2,IF('Análisis de Riesgos'!E666='Tablas AR'!$B$6,3,"")))</f>
        <v/>
      </c>
      <c r="G666" s="23"/>
      <c r="H666" t="str">
        <f>IF(G666='Tablas AR'!$B$10,1,IF('Análisis de Riesgos'!G666='Tablas AR'!$B$11,2,IF('Análisis de Riesgos'!G666='Tablas AR'!$B$12,3,"")))</f>
        <v/>
      </c>
      <c r="I666" t="str">
        <f t="shared" si="10"/>
        <v/>
      </c>
    </row>
    <row r="667" spans="2:9" x14ac:dyDescent="0.25">
      <c r="B667" s="24" t="str">
        <f>IFERROR(INDEX(Activos!$B$3:$C$11, MATCH(C667,Activos!$B$3:$B$11),2),"")</f>
        <v/>
      </c>
      <c r="C667" s="24"/>
      <c r="D667" s="24"/>
      <c r="E667" s="23"/>
      <c r="F667" t="str">
        <f>IF(E667='Tablas AR'!$B$4,1,IF('Análisis de Riesgos'!E667='Tablas AR'!$B$5,2,IF('Análisis de Riesgos'!E667='Tablas AR'!$B$6,3,"")))</f>
        <v/>
      </c>
      <c r="G667" s="23"/>
      <c r="H667" t="str">
        <f>IF(G667='Tablas AR'!$B$10,1,IF('Análisis de Riesgos'!G667='Tablas AR'!$B$11,2,IF('Análisis de Riesgos'!G667='Tablas AR'!$B$12,3,"")))</f>
        <v/>
      </c>
      <c r="I667" t="str">
        <f t="shared" si="10"/>
        <v/>
      </c>
    </row>
    <row r="668" spans="2:9" x14ac:dyDescent="0.25">
      <c r="B668" s="24" t="str">
        <f>IFERROR(INDEX(Activos!$B$3:$C$11, MATCH(C668,Activos!$B$3:$B$11),2),"")</f>
        <v/>
      </c>
      <c r="C668" s="24"/>
      <c r="D668" s="24"/>
      <c r="E668" s="23"/>
      <c r="F668" t="str">
        <f>IF(E668='Tablas AR'!$B$4,1,IF('Análisis de Riesgos'!E668='Tablas AR'!$B$5,2,IF('Análisis de Riesgos'!E668='Tablas AR'!$B$6,3,"")))</f>
        <v/>
      </c>
      <c r="G668" s="23"/>
      <c r="H668" t="str">
        <f>IF(G668='Tablas AR'!$B$10,1,IF('Análisis de Riesgos'!G668='Tablas AR'!$B$11,2,IF('Análisis de Riesgos'!G668='Tablas AR'!$B$12,3,"")))</f>
        <v/>
      </c>
      <c r="I668" t="str">
        <f t="shared" si="10"/>
        <v/>
      </c>
    </row>
    <row r="669" spans="2:9" x14ac:dyDescent="0.25">
      <c r="B669" s="24" t="str">
        <f>IFERROR(INDEX(Activos!$B$3:$C$11, MATCH(C669,Activos!$B$3:$B$11),2),"")</f>
        <v/>
      </c>
      <c r="C669" s="24"/>
      <c r="D669" s="24"/>
      <c r="E669" s="23"/>
      <c r="F669" t="str">
        <f>IF(E669='Tablas AR'!$B$4,1,IF('Análisis de Riesgos'!E669='Tablas AR'!$B$5,2,IF('Análisis de Riesgos'!E669='Tablas AR'!$B$6,3,"")))</f>
        <v/>
      </c>
      <c r="G669" s="23"/>
      <c r="H669" t="str">
        <f>IF(G669='Tablas AR'!$B$10,1,IF('Análisis de Riesgos'!G669='Tablas AR'!$B$11,2,IF('Análisis de Riesgos'!G669='Tablas AR'!$B$12,3,"")))</f>
        <v/>
      </c>
      <c r="I669" t="str">
        <f t="shared" si="10"/>
        <v/>
      </c>
    </row>
    <row r="670" spans="2:9" x14ac:dyDescent="0.25">
      <c r="B670" s="24" t="str">
        <f>IFERROR(INDEX(Activos!$B$3:$C$11, MATCH(C670,Activos!$B$3:$B$11),2),"")</f>
        <v/>
      </c>
      <c r="C670" s="24"/>
      <c r="D670" s="24"/>
      <c r="E670" s="23"/>
      <c r="F670" t="str">
        <f>IF(E670='Tablas AR'!$B$4,1,IF('Análisis de Riesgos'!E670='Tablas AR'!$B$5,2,IF('Análisis de Riesgos'!E670='Tablas AR'!$B$6,3,"")))</f>
        <v/>
      </c>
      <c r="G670" s="23"/>
      <c r="H670" t="str">
        <f>IF(G670='Tablas AR'!$B$10,1,IF('Análisis de Riesgos'!G670='Tablas AR'!$B$11,2,IF('Análisis de Riesgos'!G670='Tablas AR'!$B$12,3,"")))</f>
        <v/>
      </c>
      <c r="I670" t="str">
        <f t="shared" si="10"/>
        <v/>
      </c>
    </row>
    <row r="671" spans="2:9" x14ac:dyDescent="0.25">
      <c r="B671" s="24" t="str">
        <f>IFERROR(INDEX(Activos!$B$3:$C$11, MATCH(C671,Activos!$B$3:$B$11),2),"")</f>
        <v/>
      </c>
      <c r="C671" s="24"/>
      <c r="D671" s="24"/>
      <c r="E671" s="23"/>
      <c r="F671" t="str">
        <f>IF(E671='Tablas AR'!$B$4,1,IF('Análisis de Riesgos'!E671='Tablas AR'!$B$5,2,IF('Análisis de Riesgos'!E671='Tablas AR'!$B$6,3,"")))</f>
        <v/>
      </c>
      <c r="G671" s="23"/>
      <c r="H671" t="str">
        <f>IF(G671='Tablas AR'!$B$10,1,IF('Análisis de Riesgos'!G671='Tablas AR'!$B$11,2,IF('Análisis de Riesgos'!G671='Tablas AR'!$B$12,3,"")))</f>
        <v/>
      </c>
      <c r="I671" t="str">
        <f t="shared" si="10"/>
        <v/>
      </c>
    </row>
    <row r="672" spans="2:9" x14ac:dyDescent="0.25">
      <c r="B672" s="24" t="str">
        <f>IFERROR(INDEX(Activos!$B$3:$C$11, MATCH(C672,Activos!$B$3:$B$11),2),"")</f>
        <v/>
      </c>
      <c r="C672" s="24"/>
      <c r="D672" s="24"/>
      <c r="E672" s="23"/>
      <c r="F672" t="str">
        <f>IF(E672='Tablas AR'!$B$4,1,IF('Análisis de Riesgos'!E672='Tablas AR'!$B$5,2,IF('Análisis de Riesgos'!E672='Tablas AR'!$B$6,3,"")))</f>
        <v/>
      </c>
      <c r="G672" s="23"/>
      <c r="H672" t="str">
        <f>IF(G672='Tablas AR'!$B$10,1,IF('Análisis de Riesgos'!G672='Tablas AR'!$B$11,2,IF('Análisis de Riesgos'!G672='Tablas AR'!$B$12,3,"")))</f>
        <v/>
      </c>
      <c r="I672" t="str">
        <f t="shared" si="10"/>
        <v/>
      </c>
    </row>
    <row r="673" spans="2:9" x14ac:dyDescent="0.25">
      <c r="B673" s="24" t="str">
        <f>IFERROR(INDEX(Activos!$B$3:$C$11, MATCH(C673,Activos!$B$3:$B$11),2),"")</f>
        <v/>
      </c>
      <c r="C673" s="24"/>
      <c r="D673" s="24"/>
      <c r="E673" s="23"/>
      <c r="F673" t="str">
        <f>IF(E673='Tablas AR'!$B$4,1,IF('Análisis de Riesgos'!E673='Tablas AR'!$B$5,2,IF('Análisis de Riesgos'!E673='Tablas AR'!$B$6,3,"")))</f>
        <v/>
      </c>
      <c r="G673" s="23"/>
      <c r="H673" t="str">
        <f>IF(G673='Tablas AR'!$B$10,1,IF('Análisis de Riesgos'!G673='Tablas AR'!$B$11,2,IF('Análisis de Riesgos'!G673='Tablas AR'!$B$12,3,"")))</f>
        <v/>
      </c>
      <c r="I673" t="str">
        <f t="shared" si="10"/>
        <v/>
      </c>
    </row>
    <row r="674" spans="2:9" x14ac:dyDescent="0.25">
      <c r="B674" s="24" t="str">
        <f>IFERROR(INDEX(Activos!$B$3:$C$11, MATCH(C674,Activos!$B$3:$B$11),2),"")</f>
        <v/>
      </c>
      <c r="C674" s="24"/>
      <c r="D674" s="24"/>
      <c r="E674" s="23"/>
      <c r="F674" t="str">
        <f>IF(E674='Tablas AR'!$B$4,1,IF('Análisis de Riesgos'!E674='Tablas AR'!$B$5,2,IF('Análisis de Riesgos'!E674='Tablas AR'!$B$6,3,"")))</f>
        <v/>
      </c>
      <c r="G674" s="23"/>
      <c r="H674" t="str">
        <f>IF(G674='Tablas AR'!$B$10,1,IF('Análisis de Riesgos'!G674='Tablas AR'!$B$11,2,IF('Análisis de Riesgos'!G674='Tablas AR'!$B$12,3,"")))</f>
        <v/>
      </c>
      <c r="I674" t="str">
        <f t="shared" si="10"/>
        <v/>
      </c>
    </row>
    <row r="675" spans="2:9" x14ac:dyDescent="0.25">
      <c r="B675" s="24" t="str">
        <f>IFERROR(INDEX(Activos!$B$3:$C$11, MATCH(C675,Activos!$B$3:$B$11),2),"")</f>
        <v/>
      </c>
      <c r="C675" s="24"/>
      <c r="D675" s="24"/>
      <c r="E675" s="23"/>
      <c r="F675" t="str">
        <f>IF(E675='Tablas AR'!$B$4,1,IF('Análisis de Riesgos'!E675='Tablas AR'!$B$5,2,IF('Análisis de Riesgos'!E675='Tablas AR'!$B$6,3,"")))</f>
        <v/>
      </c>
      <c r="G675" s="23"/>
      <c r="H675" t="str">
        <f>IF(G675='Tablas AR'!$B$10,1,IF('Análisis de Riesgos'!G675='Tablas AR'!$B$11,2,IF('Análisis de Riesgos'!G675='Tablas AR'!$B$12,3,"")))</f>
        <v/>
      </c>
      <c r="I675" t="str">
        <f t="shared" si="10"/>
        <v/>
      </c>
    </row>
    <row r="676" spans="2:9" x14ac:dyDescent="0.25">
      <c r="B676" s="24" t="str">
        <f>IFERROR(INDEX(Activos!$B$3:$C$11, MATCH(C676,Activos!$B$3:$B$11),2),"")</f>
        <v/>
      </c>
      <c r="C676" s="24"/>
      <c r="D676" s="24"/>
      <c r="E676" s="23"/>
      <c r="F676" t="str">
        <f>IF(E676='Tablas AR'!$B$4,1,IF('Análisis de Riesgos'!E676='Tablas AR'!$B$5,2,IF('Análisis de Riesgos'!E676='Tablas AR'!$B$6,3,"")))</f>
        <v/>
      </c>
      <c r="G676" s="23"/>
      <c r="H676" t="str">
        <f>IF(G676='Tablas AR'!$B$10,1,IF('Análisis de Riesgos'!G676='Tablas AR'!$B$11,2,IF('Análisis de Riesgos'!G676='Tablas AR'!$B$12,3,"")))</f>
        <v/>
      </c>
      <c r="I676" t="str">
        <f t="shared" si="10"/>
        <v/>
      </c>
    </row>
    <row r="677" spans="2:9" x14ac:dyDescent="0.25">
      <c r="B677" s="24" t="str">
        <f>IFERROR(INDEX(Activos!$B$3:$C$11, MATCH(C677,Activos!$B$3:$B$11),2),"")</f>
        <v/>
      </c>
      <c r="C677" s="24"/>
      <c r="D677" s="24"/>
      <c r="E677" s="23"/>
      <c r="F677" t="str">
        <f>IF(E677='Tablas AR'!$B$4,1,IF('Análisis de Riesgos'!E677='Tablas AR'!$B$5,2,IF('Análisis de Riesgos'!E677='Tablas AR'!$B$6,3,"")))</f>
        <v/>
      </c>
      <c r="G677" s="23"/>
      <c r="H677" t="str">
        <f>IF(G677='Tablas AR'!$B$10,1,IF('Análisis de Riesgos'!G677='Tablas AR'!$B$11,2,IF('Análisis de Riesgos'!G677='Tablas AR'!$B$12,3,"")))</f>
        <v/>
      </c>
      <c r="I677" t="str">
        <f t="shared" si="10"/>
        <v/>
      </c>
    </row>
    <row r="678" spans="2:9" x14ac:dyDescent="0.25">
      <c r="B678" s="24" t="str">
        <f>IFERROR(INDEX(Activos!$B$3:$C$11, MATCH(C678,Activos!$B$3:$B$11),2),"")</f>
        <v/>
      </c>
      <c r="C678" s="24"/>
      <c r="D678" s="24"/>
      <c r="E678" s="23"/>
      <c r="F678" t="str">
        <f>IF(E678='Tablas AR'!$B$4,1,IF('Análisis de Riesgos'!E678='Tablas AR'!$B$5,2,IF('Análisis de Riesgos'!E678='Tablas AR'!$B$6,3,"")))</f>
        <v/>
      </c>
      <c r="G678" s="23"/>
      <c r="H678" t="str">
        <f>IF(G678='Tablas AR'!$B$10,1,IF('Análisis de Riesgos'!G678='Tablas AR'!$B$11,2,IF('Análisis de Riesgos'!G678='Tablas AR'!$B$12,3,"")))</f>
        <v/>
      </c>
      <c r="I678" t="str">
        <f t="shared" si="10"/>
        <v/>
      </c>
    </row>
    <row r="679" spans="2:9" x14ac:dyDescent="0.25">
      <c r="B679" s="24" t="str">
        <f>IFERROR(INDEX(Activos!$B$3:$C$11, MATCH(C679,Activos!$B$3:$B$11),2),"")</f>
        <v/>
      </c>
      <c r="C679" s="24"/>
      <c r="D679" s="24"/>
      <c r="E679" s="23"/>
      <c r="F679" t="str">
        <f>IF(E679='Tablas AR'!$B$4,1,IF('Análisis de Riesgos'!E679='Tablas AR'!$B$5,2,IF('Análisis de Riesgos'!E679='Tablas AR'!$B$6,3,"")))</f>
        <v/>
      </c>
      <c r="G679" s="23"/>
      <c r="H679" t="str">
        <f>IF(G679='Tablas AR'!$B$10,1,IF('Análisis de Riesgos'!G679='Tablas AR'!$B$11,2,IF('Análisis de Riesgos'!G679='Tablas AR'!$B$12,3,"")))</f>
        <v/>
      </c>
      <c r="I679" t="str">
        <f t="shared" si="10"/>
        <v/>
      </c>
    </row>
    <row r="680" spans="2:9" x14ac:dyDescent="0.25">
      <c r="B680" s="24" t="str">
        <f>IFERROR(INDEX(Activos!$B$3:$C$11, MATCH(C680,Activos!$B$3:$B$11),2),"")</f>
        <v/>
      </c>
      <c r="C680" s="24"/>
      <c r="D680" s="24"/>
      <c r="E680" s="23"/>
      <c r="F680" t="str">
        <f>IF(E680='Tablas AR'!$B$4,1,IF('Análisis de Riesgos'!E680='Tablas AR'!$B$5,2,IF('Análisis de Riesgos'!E680='Tablas AR'!$B$6,3,"")))</f>
        <v/>
      </c>
      <c r="G680" s="23"/>
      <c r="H680" t="str">
        <f>IF(G680='Tablas AR'!$B$10,1,IF('Análisis de Riesgos'!G680='Tablas AR'!$B$11,2,IF('Análisis de Riesgos'!G680='Tablas AR'!$B$12,3,"")))</f>
        <v/>
      </c>
      <c r="I680" t="str">
        <f t="shared" si="10"/>
        <v/>
      </c>
    </row>
    <row r="681" spans="2:9" x14ac:dyDescent="0.25">
      <c r="B681" s="24" t="str">
        <f>IFERROR(INDEX(Activos!$B$3:$C$11, MATCH(C681,Activos!$B$3:$B$11),2),"")</f>
        <v/>
      </c>
      <c r="C681" s="24"/>
      <c r="D681" s="24"/>
      <c r="E681" s="23"/>
      <c r="F681" t="str">
        <f>IF(E681='Tablas AR'!$B$4,1,IF('Análisis de Riesgos'!E681='Tablas AR'!$B$5,2,IF('Análisis de Riesgos'!E681='Tablas AR'!$B$6,3,"")))</f>
        <v/>
      </c>
      <c r="G681" s="23"/>
      <c r="H681" t="str">
        <f>IF(G681='Tablas AR'!$B$10,1,IF('Análisis de Riesgos'!G681='Tablas AR'!$B$11,2,IF('Análisis de Riesgos'!G681='Tablas AR'!$B$12,3,"")))</f>
        <v/>
      </c>
      <c r="I681" t="str">
        <f t="shared" si="10"/>
        <v/>
      </c>
    </row>
    <row r="682" spans="2:9" x14ac:dyDescent="0.25">
      <c r="B682" s="24" t="str">
        <f>IFERROR(INDEX(Activos!$B$3:$C$11, MATCH(C682,Activos!$B$3:$B$11),2),"")</f>
        <v/>
      </c>
      <c r="C682" s="24"/>
      <c r="D682" s="24"/>
      <c r="E682" s="23"/>
      <c r="F682" t="str">
        <f>IF(E682='Tablas AR'!$B$4,1,IF('Análisis de Riesgos'!E682='Tablas AR'!$B$5,2,IF('Análisis de Riesgos'!E682='Tablas AR'!$B$6,3,"")))</f>
        <v/>
      </c>
      <c r="G682" s="23"/>
      <c r="H682" t="str">
        <f>IF(G682='Tablas AR'!$B$10,1,IF('Análisis de Riesgos'!G682='Tablas AR'!$B$11,2,IF('Análisis de Riesgos'!G682='Tablas AR'!$B$12,3,"")))</f>
        <v/>
      </c>
      <c r="I682" t="str">
        <f t="shared" si="10"/>
        <v/>
      </c>
    </row>
    <row r="683" spans="2:9" x14ac:dyDescent="0.25">
      <c r="B683" s="24" t="str">
        <f>IFERROR(INDEX(Activos!$B$3:$C$11, MATCH(C683,Activos!$B$3:$B$11),2),"")</f>
        <v/>
      </c>
      <c r="C683" s="24"/>
      <c r="D683" s="24"/>
      <c r="E683" s="23"/>
      <c r="F683" t="str">
        <f>IF(E683='Tablas AR'!$B$4,1,IF('Análisis de Riesgos'!E683='Tablas AR'!$B$5,2,IF('Análisis de Riesgos'!E683='Tablas AR'!$B$6,3,"")))</f>
        <v/>
      </c>
      <c r="G683" s="23"/>
      <c r="H683" t="str">
        <f>IF(G683='Tablas AR'!$B$10,1,IF('Análisis de Riesgos'!G683='Tablas AR'!$B$11,2,IF('Análisis de Riesgos'!G683='Tablas AR'!$B$12,3,"")))</f>
        <v/>
      </c>
      <c r="I683" t="str">
        <f t="shared" si="10"/>
        <v/>
      </c>
    </row>
    <row r="684" spans="2:9" x14ac:dyDescent="0.25">
      <c r="B684" s="24" t="str">
        <f>IFERROR(INDEX(Activos!$B$3:$C$11, MATCH(C684,Activos!$B$3:$B$11),2),"")</f>
        <v/>
      </c>
      <c r="C684" s="24"/>
      <c r="D684" s="24"/>
      <c r="E684" s="23"/>
      <c r="F684" t="str">
        <f>IF(E684='Tablas AR'!$B$4,1,IF('Análisis de Riesgos'!E684='Tablas AR'!$B$5,2,IF('Análisis de Riesgos'!E684='Tablas AR'!$B$6,3,"")))</f>
        <v/>
      </c>
      <c r="G684" s="23"/>
      <c r="H684" t="str">
        <f>IF(G684='Tablas AR'!$B$10,1,IF('Análisis de Riesgos'!G684='Tablas AR'!$B$11,2,IF('Análisis de Riesgos'!G684='Tablas AR'!$B$12,3,"")))</f>
        <v/>
      </c>
      <c r="I684" t="str">
        <f t="shared" si="10"/>
        <v/>
      </c>
    </row>
    <row r="685" spans="2:9" x14ac:dyDescent="0.25">
      <c r="B685" s="24" t="str">
        <f>IFERROR(INDEX(Activos!$B$3:$C$11, MATCH(C685,Activos!$B$3:$B$11),2),"")</f>
        <v/>
      </c>
      <c r="C685" s="24"/>
      <c r="D685" s="24"/>
      <c r="E685" s="23"/>
      <c r="F685" t="str">
        <f>IF(E685='Tablas AR'!$B$4,1,IF('Análisis de Riesgos'!E685='Tablas AR'!$B$5,2,IF('Análisis de Riesgos'!E685='Tablas AR'!$B$6,3,"")))</f>
        <v/>
      </c>
      <c r="G685" s="23"/>
      <c r="H685" t="str">
        <f>IF(G685='Tablas AR'!$B$10,1,IF('Análisis de Riesgos'!G685='Tablas AR'!$B$11,2,IF('Análisis de Riesgos'!G685='Tablas AR'!$B$12,3,"")))</f>
        <v/>
      </c>
      <c r="I685" t="str">
        <f t="shared" si="10"/>
        <v/>
      </c>
    </row>
    <row r="686" spans="2:9" x14ac:dyDescent="0.25">
      <c r="B686" s="24" t="str">
        <f>IFERROR(INDEX(Activos!$B$3:$C$11, MATCH(C686,Activos!$B$3:$B$11),2),"")</f>
        <v/>
      </c>
      <c r="C686" s="24"/>
      <c r="D686" s="24"/>
      <c r="E686" s="23"/>
      <c r="F686" t="str">
        <f>IF(E686='Tablas AR'!$B$4,1,IF('Análisis de Riesgos'!E686='Tablas AR'!$B$5,2,IF('Análisis de Riesgos'!E686='Tablas AR'!$B$6,3,"")))</f>
        <v/>
      </c>
      <c r="G686" s="23"/>
      <c r="H686" t="str">
        <f>IF(G686='Tablas AR'!$B$10,1,IF('Análisis de Riesgos'!G686='Tablas AR'!$B$11,2,IF('Análisis de Riesgos'!G686='Tablas AR'!$B$12,3,"")))</f>
        <v/>
      </c>
      <c r="I686" t="str">
        <f t="shared" si="10"/>
        <v/>
      </c>
    </row>
    <row r="687" spans="2:9" x14ac:dyDescent="0.25">
      <c r="B687" s="24" t="str">
        <f>IFERROR(INDEX(Activos!$B$3:$C$11, MATCH(C687,Activos!$B$3:$B$11),2),"")</f>
        <v/>
      </c>
      <c r="C687" s="24"/>
      <c r="D687" s="24"/>
      <c r="E687" s="23"/>
      <c r="F687" t="str">
        <f>IF(E687='Tablas AR'!$B$4,1,IF('Análisis de Riesgos'!E687='Tablas AR'!$B$5,2,IF('Análisis de Riesgos'!E687='Tablas AR'!$B$6,3,"")))</f>
        <v/>
      </c>
      <c r="G687" s="23"/>
      <c r="H687" t="str">
        <f>IF(G687='Tablas AR'!$B$10,1,IF('Análisis de Riesgos'!G687='Tablas AR'!$B$11,2,IF('Análisis de Riesgos'!G687='Tablas AR'!$B$12,3,"")))</f>
        <v/>
      </c>
      <c r="I687" t="str">
        <f t="shared" si="10"/>
        <v/>
      </c>
    </row>
    <row r="688" spans="2:9" x14ac:dyDescent="0.25">
      <c r="B688" s="24" t="str">
        <f>IFERROR(INDEX(Activos!$B$3:$C$11, MATCH(C688,Activos!$B$3:$B$11),2),"")</f>
        <v/>
      </c>
      <c r="C688" s="24"/>
      <c r="D688" s="24"/>
      <c r="E688" s="23"/>
      <c r="F688" t="str">
        <f>IF(E688='Tablas AR'!$B$4,1,IF('Análisis de Riesgos'!E688='Tablas AR'!$B$5,2,IF('Análisis de Riesgos'!E688='Tablas AR'!$B$6,3,"")))</f>
        <v/>
      </c>
      <c r="G688" s="23"/>
      <c r="H688" t="str">
        <f>IF(G688='Tablas AR'!$B$10,1,IF('Análisis de Riesgos'!G688='Tablas AR'!$B$11,2,IF('Análisis de Riesgos'!G688='Tablas AR'!$B$12,3,"")))</f>
        <v/>
      </c>
      <c r="I688" t="str">
        <f t="shared" si="10"/>
        <v/>
      </c>
    </row>
    <row r="689" spans="2:9" x14ac:dyDescent="0.25">
      <c r="B689" s="24" t="str">
        <f>IFERROR(INDEX(Activos!$B$3:$C$11, MATCH(C689,Activos!$B$3:$B$11),2),"")</f>
        <v/>
      </c>
      <c r="C689" s="24"/>
      <c r="D689" s="24"/>
      <c r="E689" s="23"/>
      <c r="F689" t="str">
        <f>IF(E689='Tablas AR'!$B$4,1,IF('Análisis de Riesgos'!E689='Tablas AR'!$B$5,2,IF('Análisis de Riesgos'!E689='Tablas AR'!$B$6,3,"")))</f>
        <v/>
      </c>
      <c r="G689" s="23"/>
      <c r="H689" t="str">
        <f>IF(G689='Tablas AR'!$B$10,1,IF('Análisis de Riesgos'!G689='Tablas AR'!$B$11,2,IF('Análisis de Riesgos'!G689='Tablas AR'!$B$12,3,"")))</f>
        <v/>
      </c>
      <c r="I689" t="str">
        <f t="shared" si="10"/>
        <v/>
      </c>
    </row>
    <row r="690" spans="2:9" x14ac:dyDescent="0.25">
      <c r="B690" s="24" t="str">
        <f>IFERROR(INDEX(Activos!$B$3:$C$11, MATCH(C690,Activos!$B$3:$B$11),2),"")</f>
        <v/>
      </c>
      <c r="C690" s="24"/>
      <c r="D690" s="24"/>
      <c r="E690" s="23"/>
      <c r="F690" t="str">
        <f>IF(E690='Tablas AR'!$B$4,1,IF('Análisis de Riesgos'!E690='Tablas AR'!$B$5,2,IF('Análisis de Riesgos'!E690='Tablas AR'!$B$6,3,"")))</f>
        <v/>
      </c>
      <c r="G690" s="23"/>
      <c r="H690" t="str">
        <f>IF(G690='Tablas AR'!$B$10,1,IF('Análisis de Riesgos'!G690='Tablas AR'!$B$11,2,IF('Análisis de Riesgos'!G690='Tablas AR'!$B$12,3,"")))</f>
        <v/>
      </c>
      <c r="I690" t="str">
        <f t="shared" si="10"/>
        <v/>
      </c>
    </row>
    <row r="691" spans="2:9" x14ac:dyDescent="0.25">
      <c r="B691" s="24" t="str">
        <f>IFERROR(INDEX(Activos!$B$3:$C$11, MATCH(C691,Activos!$B$3:$B$11),2),"")</f>
        <v/>
      </c>
      <c r="C691" s="24"/>
      <c r="D691" s="24"/>
      <c r="E691" s="23"/>
      <c r="F691" t="str">
        <f>IF(E691='Tablas AR'!$B$4,1,IF('Análisis de Riesgos'!E691='Tablas AR'!$B$5,2,IF('Análisis de Riesgos'!E691='Tablas AR'!$B$6,3,"")))</f>
        <v/>
      </c>
      <c r="G691" s="23"/>
      <c r="H691" t="str">
        <f>IF(G691='Tablas AR'!$B$10,1,IF('Análisis de Riesgos'!G691='Tablas AR'!$B$11,2,IF('Análisis de Riesgos'!G691='Tablas AR'!$B$12,3,"")))</f>
        <v/>
      </c>
      <c r="I691" t="str">
        <f t="shared" si="10"/>
        <v/>
      </c>
    </row>
    <row r="692" spans="2:9" x14ac:dyDescent="0.25">
      <c r="B692" s="24" t="str">
        <f>IFERROR(INDEX(Activos!$B$3:$C$11, MATCH(C692,Activos!$B$3:$B$11),2),"")</f>
        <v/>
      </c>
      <c r="C692" s="24"/>
      <c r="D692" s="24"/>
      <c r="E692" s="23"/>
      <c r="F692" t="str">
        <f>IF(E692='Tablas AR'!$B$4,1,IF('Análisis de Riesgos'!E692='Tablas AR'!$B$5,2,IF('Análisis de Riesgos'!E692='Tablas AR'!$B$6,3,"")))</f>
        <v/>
      </c>
      <c r="G692" s="23"/>
      <c r="H692" t="str">
        <f>IF(G692='Tablas AR'!$B$10,1,IF('Análisis de Riesgos'!G692='Tablas AR'!$B$11,2,IF('Análisis de Riesgos'!G692='Tablas AR'!$B$12,3,"")))</f>
        <v/>
      </c>
      <c r="I692" t="str">
        <f t="shared" si="10"/>
        <v/>
      </c>
    </row>
    <row r="693" spans="2:9" x14ac:dyDescent="0.25">
      <c r="B693" s="24" t="str">
        <f>IFERROR(INDEX(Activos!$B$3:$C$11, MATCH(C693,Activos!$B$3:$B$11),2),"")</f>
        <v/>
      </c>
      <c r="C693" s="24"/>
      <c r="D693" s="24"/>
      <c r="E693" s="23"/>
      <c r="F693" t="str">
        <f>IF(E693='Tablas AR'!$B$4,1,IF('Análisis de Riesgos'!E693='Tablas AR'!$B$5,2,IF('Análisis de Riesgos'!E693='Tablas AR'!$B$6,3,"")))</f>
        <v/>
      </c>
      <c r="G693" s="23"/>
      <c r="H693" t="str">
        <f>IF(G693='Tablas AR'!$B$10,1,IF('Análisis de Riesgos'!G693='Tablas AR'!$B$11,2,IF('Análisis de Riesgos'!G693='Tablas AR'!$B$12,3,"")))</f>
        <v/>
      </c>
      <c r="I693" t="str">
        <f t="shared" si="10"/>
        <v/>
      </c>
    </row>
    <row r="694" spans="2:9" x14ac:dyDescent="0.25">
      <c r="B694" s="24" t="str">
        <f>IFERROR(INDEX(Activos!$B$3:$C$11, MATCH(C694,Activos!$B$3:$B$11),2),"")</f>
        <v/>
      </c>
      <c r="C694" s="24"/>
      <c r="D694" s="24"/>
      <c r="E694" s="23"/>
      <c r="F694" t="str">
        <f>IF(E694='Tablas AR'!$B$4,1,IF('Análisis de Riesgos'!E694='Tablas AR'!$B$5,2,IF('Análisis de Riesgos'!E694='Tablas AR'!$B$6,3,"")))</f>
        <v/>
      </c>
      <c r="G694" s="23"/>
      <c r="H694" t="str">
        <f>IF(G694='Tablas AR'!$B$10,1,IF('Análisis de Riesgos'!G694='Tablas AR'!$B$11,2,IF('Análisis de Riesgos'!G694='Tablas AR'!$B$12,3,"")))</f>
        <v/>
      </c>
      <c r="I694" t="str">
        <f t="shared" si="10"/>
        <v/>
      </c>
    </row>
    <row r="695" spans="2:9" x14ac:dyDescent="0.25">
      <c r="B695" s="24" t="str">
        <f>IFERROR(INDEX(Activos!$B$3:$C$11, MATCH(C695,Activos!$B$3:$B$11),2),"")</f>
        <v/>
      </c>
      <c r="C695" s="24"/>
      <c r="D695" s="24"/>
      <c r="E695" s="23"/>
      <c r="F695" t="str">
        <f>IF(E695='Tablas AR'!$B$4,1,IF('Análisis de Riesgos'!E695='Tablas AR'!$B$5,2,IF('Análisis de Riesgos'!E695='Tablas AR'!$B$6,3,"")))</f>
        <v/>
      </c>
      <c r="G695" s="23"/>
      <c r="H695" t="str">
        <f>IF(G695='Tablas AR'!$B$10,1,IF('Análisis de Riesgos'!G695='Tablas AR'!$B$11,2,IF('Análisis de Riesgos'!G695='Tablas AR'!$B$12,3,"")))</f>
        <v/>
      </c>
      <c r="I695" t="str">
        <f t="shared" si="10"/>
        <v/>
      </c>
    </row>
    <row r="696" spans="2:9" x14ac:dyDescent="0.25">
      <c r="B696" s="24" t="str">
        <f>IFERROR(INDEX(Activos!$B$3:$C$11, MATCH(C696,Activos!$B$3:$B$11),2),"")</f>
        <v/>
      </c>
      <c r="C696" s="24"/>
      <c r="D696" s="24"/>
      <c r="E696" s="23"/>
      <c r="F696" t="str">
        <f>IF(E696='Tablas AR'!$B$4,1,IF('Análisis de Riesgos'!E696='Tablas AR'!$B$5,2,IF('Análisis de Riesgos'!E696='Tablas AR'!$B$6,3,"")))</f>
        <v/>
      </c>
      <c r="G696" s="23"/>
      <c r="H696" t="str">
        <f>IF(G696='Tablas AR'!$B$10,1,IF('Análisis de Riesgos'!G696='Tablas AR'!$B$11,2,IF('Análisis de Riesgos'!G696='Tablas AR'!$B$12,3,"")))</f>
        <v/>
      </c>
      <c r="I696" t="str">
        <f t="shared" si="10"/>
        <v/>
      </c>
    </row>
    <row r="697" spans="2:9" x14ac:dyDescent="0.25">
      <c r="B697" s="24" t="str">
        <f>IFERROR(INDEX(Activos!$B$3:$C$11, MATCH(C697,Activos!$B$3:$B$11),2),"")</f>
        <v/>
      </c>
      <c r="C697" s="24"/>
      <c r="D697" s="24"/>
      <c r="E697" s="23"/>
      <c r="F697" t="str">
        <f>IF(E697='Tablas AR'!$B$4,1,IF('Análisis de Riesgos'!E697='Tablas AR'!$B$5,2,IF('Análisis de Riesgos'!E697='Tablas AR'!$B$6,3,"")))</f>
        <v/>
      </c>
      <c r="G697" s="23"/>
      <c r="H697" t="str">
        <f>IF(G697='Tablas AR'!$B$10,1,IF('Análisis de Riesgos'!G697='Tablas AR'!$B$11,2,IF('Análisis de Riesgos'!G697='Tablas AR'!$B$12,3,"")))</f>
        <v/>
      </c>
      <c r="I697" t="str">
        <f t="shared" si="10"/>
        <v/>
      </c>
    </row>
    <row r="698" spans="2:9" x14ac:dyDescent="0.25">
      <c r="B698" s="24" t="str">
        <f>IFERROR(INDEX(Activos!$B$3:$C$11, MATCH(C698,Activos!$B$3:$B$11),2),"")</f>
        <v/>
      </c>
      <c r="C698" s="24"/>
      <c r="D698" s="24"/>
      <c r="E698" s="23"/>
      <c r="F698" t="str">
        <f>IF(E698='Tablas AR'!$B$4,1,IF('Análisis de Riesgos'!E698='Tablas AR'!$B$5,2,IF('Análisis de Riesgos'!E698='Tablas AR'!$B$6,3,"")))</f>
        <v/>
      </c>
      <c r="G698" s="23"/>
      <c r="H698" t="str">
        <f>IF(G698='Tablas AR'!$B$10,1,IF('Análisis de Riesgos'!G698='Tablas AR'!$B$11,2,IF('Análisis de Riesgos'!G698='Tablas AR'!$B$12,3,"")))</f>
        <v/>
      </c>
      <c r="I698" t="str">
        <f t="shared" si="10"/>
        <v/>
      </c>
    </row>
    <row r="699" spans="2:9" x14ac:dyDescent="0.25">
      <c r="B699" s="24" t="str">
        <f>IFERROR(INDEX(Activos!$B$3:$C$11, MATCH(C699,Activos!$B$3:$B$11),2),"")</f>
        <v/>
      </c>
      <c r="C699" s="24"/>
      <c r="D699" s="24"/>
      <c r="E699" s="23"/>
      <c r="F699" t="str">
        <f>IF(E699='Tablas AR'!$B$4,1,IF('Análisis de Riesgos'!E699='Tablas AR'!$B$5,2,IF('Análisis de Riesgos'!E699='Tablas AR'!$B$6,3,"")))</f>
        <v/>
      </c>
      <c r="G699" s="23"/>
      <c r="H699" t="str">
        <f>IF(G699='Tablas AR'!$B$10,1,IF('Análisis de Riesgos'!G699='Tablas AR'!$B$11,2,IF('Análisis de Riesgos'!G699='Tablas AR'!$B$12,3,"")))</f>
        <v/>
      </c>
      <c r="I699" t="str">
        <f t="shared" si="10"/>
        <v/>
      </c>
    </row>
    <row r="700" spans="2:9" x14ac:dyDescent="0.25">
      <c r="B700" s="24" t="str">
        <f>IFERROR(INDEX(Activos!$B$3:$C$11, MATCH(C700,Activos!$B$3:$B$11),2),"")</f>
        <v/>
      </c>
      <c r="C700" s="24"/>
      <c r="D700" s="24"/>
      <c r="E700" s="23"/>
      <c r="F700" t="str">
        <f>IF(E700='Tablas AR'!$B$4,1,IF('Análisis de Riesgos'!E700='Tablas AR'!$B$5,2,IF('Análisis de Riesgos'!E700='Tablas AR'!$B$6,3,"")))</f>
        <v/>
      </c>
      <c r="G700" s="23"/>
      <c r="H700" t="str">
        <f>IF(G700='Tablas AR'!$B$10,1,IF('Análisis de Riesgos'!G700='Tablas AR'!$B$11,2,IF('Análisis de Riesgos'!G700='Tablas AR'!$B$12,3,"")))</f>
        <v/>
      </c>
      <c r="I700" t="str">
        <f t="shared" si="10"/>
        <v/>
      </c>
    </row>
    <row r="701" spans="2:9" x14ac:dyDescent="0.25">
      <c r="B701" s="24" t="str">
        <f>IFERROR(INDEX(Activos!$B$3:$C$11, MATCH(C701,Activos!$B$3:$B$11),2),"")</f>
        <v/>
      </c>
      <c r="C701" s="24"/>
      <c r="D701" s="24"/>
      <c r="E701" s="23"/>
      <c r="F701" t="str">
        <f>IF(E701='Tablas AR'!$B$4,1,IF('Análisis de Riesgos'!E701='Tablas AR'!$B$5,2,IF('Análisis de Riesgos'!E701='Tablas AR'!$B$6,3,"")))</f>
        <v/>
      </c>
      <c r="G701" s="23"/>
      <c r="H701" t="str">
        <f>IF(G701='Tablas AR'!$B$10,1,IF('Análisis de Riesgos'!G701='Tablas AR'!$B$11,2,IF('Análisis de Riesgos'!G701='Tablas AR'!$B$12,3,"")))</f>
        <v/>
      </c>
      <c r="I701" t="str">
        <f t="shared" si="10"/>
        <v/>
      </c>
    </row>
    <row r="702" spans="2:9" x14ac:dyDescent="0.25">
      <c r="B702" s="24" t="str">
        <f>IFERROR(INDEX(Activos!$B$3:$C$11, MATCH(C702,Activos!$B$3:$B$11),2),"")</f>
        <v/>
      </c>
      <c r="C702" s="24"/>
      <c r="D702" s="24"/>
      <c r="E702" s="23"/>
      <c r="F702" t="str">
        <f>IF(E702='Tablas AR'!$B$4,1,IF('Análisis de Riesgos'!E702='Tablas AR'!$B$5,2,IF('Análisis de Riesgos'!E702='Tablas AR'!$B$6,3,"")))</f>
        <v/>
      </c>
      <c r="G702" s="23"/>
      <c r="H702" t="str">
        <f>IF(G702='Tablas AR'!$B$10,1,IF('Análisis de Riesgos'!G702='Tablas AR'!$B$11,2,IF('Análisis de Riesgos'!G702='Tablas AR'!$B$12,3,"")))</f>
        <v/>
      </c>
      <c r="I702" t="str">
        <f t="shared" si="10"/>
        <v/>
      </c>
    </row>
    <row r="703" spans="2:9" x14ac:dyDescent="0.25">
      <c r="B703" s="24" t="str">
        <f>IFERROR(INDEX(Activos!$B$3:$C$11, MATCH(C703,Activos!$B$3:$B$11),2),"")</f>
        <v/>
      </c>
      <c r="C703" s="24"/>
      <c r="D703" s="24"/>
      <c r="E703" s="23"/>
      <c r="F703" t="str">
        <f>IF(E703='Tablas AR'!$B$4,1,IF('Análisis de Riesgos'!E703='Tablas AR'!$B$5,2,IF('Análisis de Riesgos'!E703='Tablas AR'!$B$6,3,"")))</f>
        <v/>
      </c>
      <c r="G703" s="23"/>
      <c r="H703" t="str">
        <f>IF(G703='Tablas AR'!$B$10,1,IF('Análisis de Riesgos'!G703='Tablas AR'!$B$11,2,IF('Análisis de Riesgos'!G703='Tablas AR'!$B$12,3,"")))</f>
        <v/>
      </c>
      <c r="I703" t="str">
        <f t="shared" si="10"/>
        <v/>
      </c>
    </row>
    <row r="704" spans="2:9" x14ac:dyDescent="0.25">
      <c r="B704" s="24" t="str">
        <f>IFERROR(INDEX(Activos!$B$3:$C$11, MATCH(C704,Activos!$B$3:$B$11),2),"")</f>
        <v/>
      </c>
      <c r="C704" s="24"/>
      <c r="D704" s="24"/>
      <c r="E704" s="23"/>
      <c r="F704" t="str">
        <f>IF(E704='Tablas AR'!$B$4,1,IF('Análisis de Riesgos'!E704='Tablas AR'!$B$5,2,IF('Análisis de Riesgos'!E704='Tablas AR'!$B$6,3,"")))</f>
        <v/>
      </c>
      <c r="G704" s="23"/>
      <c r="H704" t="str">
        <f>IF(G704='Tablas AR'!$B$10,1,IF('Análisis de Riesgos'!G704='Tablas AR'!$B$11,2,IF('Análisis de Riesgos'!G704='Tablas AR'!$B$12,3,"")))</f>
        <v/>
      </c>
      <c r="I704" t="str">
        <f t="shared" si="10"/>
        <v/>
      </c>
    </row>
    <row r="705" spans="2:9" x14ac:dyDescent="0.25">
      <c r="B705" s="24" t="str">
        <f>IFERROR(INDEX(Activos!$B$3:$C$11, MATCH(C705,Activos!$B$3:$B$11),2),"")</f>
        <v/>
      </c>
      <c r="C705" s="24"/>
      <c r="D705" s="24"/>
      <c r="E705" s="23"/>
      <c r="F705" t="str">
        <f>IF(E705='Tablas AR'!$B$4,1,IF('Análisis de Riesgos'!E705='Tablas AR'!$B$5,2,IF('Análisis de Riesgos'!E705='Tablas AR'!$B$6,3,"")))</f>
        <v/>
      </c>
      <c r="G705" s="23"/>
      <c r="H705" t="str">
        <f>IF(G705='Tablas AR'!$B$10,1,IF('Análisis de Riesgos'!G705='Tablas AR'!$B$11,2,IF('Análisis de Riesgos'!G705='Tablas AR'!$B$12,3,"")))</f>
        <v/>
      </c>
      <c r="I705" t="str">
        <f t="shared" si="10"/>
        <v/>
      </c>
    </row>
    <row r="706" spans="2:9" x14ac:dyDescent="0.25">
      <c r="B706" s="24" t="str">
        <f>IFERROR(INDEX(Activos!$B$3:$C$11, MATCH(C706,Activos!$B$3:$B$11),2),"")</f>
        <v/>
      </c>
      <c r="C706" s="24"/>
      <c r="D706" s="24"/>
      <c r="E706" s="23"/>
      <c r="F706" t="str">
        <f>IF(E706='Tablas AR'!$B$4,1,IF('Análisis de Riesgos'!E706='Tablas AR'!$B$5,2,IF('Análisis de Riesgos'!E706='Tablas AR'!$B$6,3,"")))</f>
        <v/>
      </c>
      <c r="G706" s="23"/>
      <c r="H706" t="str">
        <f>IF(G706='Tablas AR'!$B$10,1,IF('Análisis de Riesgos'!G706='Tablas AR'!$B$11,2,IF('Análisis de Riesgos'!G706='Tablas AR'!$B$12,3,"")))</f>
        <v/>
      </c>
      <c r="I706" t="str">
        <f t="shared" si="10"/>
        <v/>
      </c>
    </row>
    <row r="707" spans="2:9" x14ac:dyDescent="0.25">
      <c r="B707" s="24" t="str">
        <f>IFERROR(INDEX(Activos!$B$3:$C$11, MATCH(C707,Activos!$B$3:$B$11),2),"")</f>
        <v/>
      </c>
      <c r="C707" s="24"/>
      <c r="D707" s="24"/>
      <c r="E707" s="23"/>
      <c r="F707" t="str">
        <f>IF(E707='Tablas AR'!$B$4,1,IF('Análisis de Riesgos'!E707='Tablas AR'!$B$5,2,IF('Análisis de Riesgos'!E707='Tablas AR'!$B$6,3,"")))</f>
        <v/>
      </c>
      <c r="G707" s="23"/>
      <c r="H707" t="str">
        <f>IF(G707='Tablas AR'!$B$10,1,IF('Análisis de Riesgos'!G707='Tablas AR'!$B$11,2,IF('Análisis de Riesgos'!G707='Tablas AR'!$B$12,3,"")))</f>
        <v/>
      </c>
      <c r="I707" t="str">
        <f t="shared" si="10"/>
        <v/>
      </c>
    </row>
    <row r="708" spans="2:9" x14ac:dyDescent="0.25">
      <c r="B708" s="24" t="str">
        <f>IFERROR(INDEX(Activos!$B$3:$C$11, MATCH(C708,Activos!$B$3:$B$11),2),"")</f>
        <v/>
      </c>
      <c r="C708" s="24"/>
      <c r="D708" s="24"/>
      <c r="E708" s="23"/>
      <c r="F708" t="str">
        <f>IF(E708='Tablas AR'!$B$4,1,IF('Análisis de Riesgos'!E708='Tablas AR'!$B$5,2,IF('Análisis de Riesgos'!E708='Tablas AR'!$B$6,3,"")))</f>
        <v/>
      </c>
      <c r="G708" s="23"/>
      <c r="H708" t="str">
        <f>IF(G708='Tablas AR'!$B$10,1,IF('Análisis de Riesgos'!G708='Tablas AR'!$B$11,2,IF('Análisis de Riesgos'!G708='Tablas AR'!$B$12,3,"")))</f>
        <v/>
      </c>
      <c r="I708" t="str">
        <f t="shared" ref="I708:I771" si="11" xml:space="preserve"> IFERROR(F708*H708,"")</f>
        <v/>
      </c>
    </row>
    <row r="709" spans="2:9" x14ac:dyDescent="0.25">
      <c r="B709" s="24" t="str">
        <f>IFERROR(INDEX(Activos!$B$3:$C$11, MATCH(C709,Activos!$B$3:$B$11),2),"")</f>
        <v/>
      </c>
      <c r="C709" s="24"/>
      <c r="D709" s="24"/>
      <c r="E709" s="23"/>
      <c r="F709" t="str">
        <f>IF(E709='Tablas AR'!$B$4,1,IF('Análisis de Riesgos'!E709='Tablas AR'!$B$5,2,IF('Análisis de Riesgos'!E709='Tablas AR'!$B$6,3,"")))</f>
        <v/>
      </c>
      <c r="G709" s="23"/>
      <c r="H709" t="str">
        <f>IF(G709='Tablas AR'!$B$10,1,IF('Análisis de Riesgos'!G709='Tablas AR'!$B$11,2,IF('Análisis de Riesgos'!G709='Tablas AR'!$B$12,3,"")))</f>
        <v/>
      </c>
      <c r="I709" t="str">
        <f t="shared" si="11"/>
        <v/>
      </c>
    </row>
    <row r="710" spans="2:9" x14ac:dyDescent="0.25">
      <c r="B710" s="24" t="str">
        <f>IFERROR(INDEX(Activos!$B$3:$C$11, MATCH(C710,Activos!$B$3:$B$11),2),"")</f>
        <v/>
      </c>
      <c r="C710" s="24"/>
      <c r="D710" s="24"/>
      <c r="E710" s="23"/>
      <c r="F710" t="str">
        <f>IF(E710='Tablas AR'!$B$4,1,IF('Análisis de Riesgos'!E710='Tablas AR'!$B$5,2,IF('Análisis de Riesgos'!E710='Tablas AR'!$B$6,3,"")))</f>
        <v/>
      </c>
      <c r="G710" s="23"/>
      <c r="H710" t="str">
        <f>IF(G710='Tablas AR'!$B$10,1,IF('Análisis de Riesgos'!G710='Tablas AR'!$B$11,2,IF('Análisis de Riesgos'!G710='Tablas AR'!$B$12,3,"")))</f>
        <v/>
      </c>
      <c r="I710" t="str">
        <f t="shared" si="11"/>
        <v/>
      </c>
    </row>
    <row r="711" spans="2:9" x14ac:dyDescent="0.25">
      <c r="B711" s="24" t="str">
        <f>IFERROR(INDEX(Activos!$B$3:$C$11, MATCH(C711,Activos!$B$3:$B$11),2),"")</f>
        <v/>
      </c>
      <c r="C711" s="24"/>
      <c r="D711" s="24"/>
      <c r="E711" s="23"/>
      <c r="F711" t="str">
        <f>IF(E711='Tablas AR'!$B$4,1,IF('Análisis de Riesgos'!E711='Tablas AR'!$B$5,2,IF('Análisis de Riesgos'!E711='Tablas AR'!$B$6,3,"")))</f>
        <v/>
      </c>
      <c r="G711" s="23"/>
      <c r="H711" t="str">
        <f>IF(G711='Tablas AR'!$B$10,1,IF('Análisis de Riesgos'!G711='Tablas AR'!$B$11,2,IF('Análisis de Riesgos'!G711='Tablas AR'!$B$12,3,"")))</f>
        <v/>
      </c>
      <c r="I711" t="str">
        <f t="shared" si="11"/>
        <v/>
      </c>
    </row>
    <row r="712" spans="2:9" x14ac:dyDescent="0.25">
      <c r="B712" s="24" t="str">
        <f>IFERROR(INDEX(Activos!$B$3:$C$11, MATCH(C712,Activos!$B$3:$B$11),2),"")</f>
        <v/>
      </c>
      <c r="C712" s="24"/>
      <c r="D712" s="24"/>
      <c r="E712" s="23"/>
      <c r="F712" t="str">
        <f>IF(E712='Tablas AR'!$B$4,1,IF('Análisis de Riesgos'!E712='Tablas AR'!$B$5,2,IF('Análisis de Riesgos'!E712='Tablas AR'!$B$6,3,"")))</f>
        <v/>
      </c>
      <c r="G712" s="23"/>
      <c r="H712" t="str">
        <f>IF(G712='Tablas AR'!$B$10,1,IF('Análisis de Riesgos'!G712='Tablas AR'!$B$11,2,IF('Análisis de Riesgos'!G712='Tablas AR'!$B$12,3,"")))</f>
        <v/>
      </c>
      <c r="I712" t="str">
        <f t="shared" si="11"/>
        <v/>
      </c>
    </row>
    <row r="713" spans="2:9" x14ac:dyDescent="0.25">
      <c r="B713" s="24" t="str">
        <f>IFERROR(INDEX(Activos!$B$3:$C$11, MATCH(C713,Activos!$B$3:$B$11),2),"")</f>
        <v/>
      </c>
      <c r="C713" s="24"/>
      <c r="D713" s="24"/>
      <c r="E713" s="23"/>
      <c r="F713" t="str">
        <f>IF(E713='Tablas AR'!$B$4,1,IF('Análisis de Riesgos'!E713='Tablas AR'!$B$5,2,IF('Análisis de Riesgos'!E713='Tablas AR'!$B$6,3,"")))</f>
        <v/>
      </c>
      <c r="G713" s="23"/>
      <c r="H713" t="str">
        <f>IF(G713='Tablas AR'!$B$10,1,IF('Análisis de Riesgos'!G713='Tablas AR'!$B$11,2,IF('Análisis de Riesgos'!G713='Tablas AR'!$B$12,3,"")))</f>
        <v/>
      </c>
      <c r="I713" t="str">
        <f t="shared" si="11"/>
        <v/>
      </c>
    </row>
    <row r="714" spans="2:9" x14ac:dyDescent="0.25">
      <c r="B714" s="24" t="str">
        <f>IFERROR(INDEX(Activos!$B$3:$C$11, MATCH(C714,Activos!$B$3:$B$11),2),"")</f>
        <v/>
      </c>
      <c r="C714" s="24"/>
      <c r="D714" s="24"/>
      <c r="E714" s="23"/>
      <c r="F714" t="str">
        <f>IF(E714='Tablas AR'!$B$4,1,IF('Análisis de Riesgos'!E714='Tablas AR'!$B$5,2,IF('Análisis de Riesgos'!E714='Tablas AR'!$B$6,3,"")))</f>
        <v/>
      </c>
      <c r="G714" s="23"/>
      <c r="H714" t="str">
        <f>IF(G714='Tablas AR'!$B$10,1,IF('Análisis de Riesgos'!G714='Tablas AR'!$B$11,2,IF('Análisis de Riesgos'!G714='Tablas AR'!$B$12,3,"")))</f>
        <v/>
      </c>
      <c r="I714" t="str">
        <f t="shared" si="11"/>
        <v/>
      </c>
    </row>
    <row r="715" spans="2:9" x14ac:dyDescent="0.25">
      <c r="B715" s="24" t="str">
        <f>IFERROR(INDEX(Activos!$B$3:$C$11, MATCH(C715,Activos!$B$3:$B$11),2),"")</f>
        <v/>
      </c>
      <c r="C715" s="24"/>
      <c r="D715" s="24"/>
      <c r="E715" s="23"/>
      <c r="F715" t="str">
        <f>IF(E715='Tablas AR'!$B$4,1,IF('Análisis de Riesgos'!E715='Tablas AR'!$B$5,2,IF('Análisis de Riesgos'!E715='Tablas AR'!$B$6,3,"")))</f>
        <v/>
      </c>
      <c r="G715" s="23"/>
      <c r="H715" t="str">
        <f>IF(G715='Tablas AR'!$B$10,1,IF('Análisis de Riesgos'!G715='Tablas AR'!$B$11,2,IF('Análisis de Riesgos'!G715='Tablas AR'!$B$12,3,"")))</f>
        <v/>
      </c>
      <c r="I715" t="str">
        <f t="shared" si="11"/>
        <v/>
      </c>
    </row>
    <row r="716" spans="2:9" x14ac:dyDescent="0.25">
      <c r="B716" s="24" t="str">
        <f>IFERROR(INDEX(Activos!$B$3:$C$11, MATCH(C716,Activos!$B$3:$B$11),2),"")</f>
        <v/>
      </c>
      <c r="C716" s="24"/>
      <c r="D716" s="24"/>
      <c r="E716" s="23"/>
      <c r="F716" t="str">
        <f>IF(E716='Tablas AR'!$B$4,1,IF('Análisis de Riesgos'!E716='Tablas AR'!$B$5,2,IF('Análisis de Riesgos'!E716='Tablas AR'!$B$6,3,"")))</f>
        <v/>
      </c>
      <c r="G716" s="23"/>
      <c r="H716" t="str">
        <f>IF(G716='Tablas AR'!$B$10,1,IF('Análisis de Riesgos'!G716='Tablas AR'!$B$11,2,IF('Análisis de Riesgos'!G716='Tablas AR'!$B$12,3,"")))</f>
        <v/>
      </c>
      <c r="I716" t="str">
        <f t="shared" si="11"/>
        <v/>
      </c>
    </row>
    <row r="717" spans="2:9" x14ac:dyDescent="0.25">
      <c r="B717" s="24" t="str">
        <f>IFERROR(INDEX(Activos!$B$3:$C$11, MATCH(C717,Activos!$B$3:$B$11),2),"")</f>
        <v/>
      </c>
      <c r="C717" s="24"/>
      <c r="D717" s="24"/>
      <c r="E717" s="23"/>
      <c r="F717" t="str">
        <f>IF(E717='Tablas AR'!$B$4,1,IF('Análisis de Riesgos'!E717='Tablas AR'!$B$5,2,IF('Análisis de Riesgos'!E717='Tablas AR'!$B$6,3,"")))</f>
        <v/>
      </c>
      <c r="G717" s="23"/>
      <c r="H717" t="str">
        <f>IF(G717='Tablas AR'!$B$10,1,IF('Análisis de Riesgos'!G717='Tablas AR'!$B$11,2,IF('Análisis de Riesgos'!G717='Tablas AR'!$B$12,3,"")))</f>
        <v/>
      </c>
      <c r="I717" t="str">
        <f t="shared" si="11"/>
        <v/>
      </c>
    </row>
    <row r="718" spans="2:9" x14ac:dyDescent="0.25">
      <c r="B718" s="24" t="str">
        <f>IFERROR(INDEX(Activos!$B$3:$C$11, MATCH(C718,Activos!$B$3:$B$11),2),"")</f>
        <v/>
      </c>
      <c r="C718" s="24"/>
      <c r="D718" s="24"/>
      <c r="E718" s="23"/>
      <c r="F718" t="str">
        <f>IF(E718='Tablas AR'!$B$4,1,IF('Análisis de Riesgos'!E718='Tablas AR'!$B$5,2,IF('Análisis de Riesgos'!E718='Tablas AR'!$B$6,3,"")))</f>
        <v/>
      </c>
      <c r="G718" s="23"/>
      <c r="H718" t="str">
        <f>IF(G718='Tablas AR'!$B$10,1,IF('Análisis de Riesgos'!G718='Tablas AR'!$B$11,2,IF('Análisis de Riesgos'!G718='Tablas AR'!$B$12,3,"")))</f>
        <v/>
      </c>
      <c r="I718" t="str">
        <f t="shared" si="11"/>
        <v/>
      </c>
    </row>
    <row r="719" spans="2:9" x14ac:dyDescent="0.25">
      <c r="B719" s="24" t="str">
        <f>IFERROR(INDEX(Activos!$B$3:$C$11, MATCH(C719,Activos!$B$3:$B$11),2),"")</f>
        <v/>
      </c>
      <c r="C719" s="24"/>
      <c r="D719" s="24"/>
      <c r="E719" s="23"/>
      <c r="F719" t="str">
        <f>IF(E719='Tablas AR'!$B$4,1,IF('Análisis de Riesgos'!E719='Tablas AR'!$B$5,2,IF('Análisis de Riesgos'!E719='Tablas AR'!$B$6,3,"")))</f>
        <v/>
      </c>
      <c r="G719" s="23"/>
      <c r="H719" t="str">
        <f>IF(G719='Tablas AR'!$B$10,1,IF('Análisis de Riesgos'!G719='Tablas AR'!$B$11,2,IF('Análisis de Riesgos'!G719='Tablas AR'!$B$12,3,"")))</f>
        <v/>
      </c>
      <c r="I719" t="str">
        <f t="shared" si="11"/>
        <v/>
      </c>
    </row>
    <row r="720" spans="2:9" x14ac:dyDescent="0.25">
      <c r="B720" s="24" t="str">
        <f>IFERROR(INDEX(Activos!$B$3:$C$11, MATCH(C720,Activos!$B$3:$B$11),2),"")</f>
        <v/>
      </c>
      <c r="C720" s="24"/>
      <c r="D720" s="24"/>
      <c r="E720" s="23"/>
      <c r="F720" t="str">
        <f>IF(E720='Tablas AR'!$B$4,1,IF('Análisis de Riesgos'!E720='Tablas AR'!$B$5,2,IF('Análisis de Riesgos'!E720='Tablas AR'!$B$6,3,"")))</f>
        <v/>
      </c>
      <c r="G720" s="23"/>
      <c r="H720" t="str">
        <f>IF(G720='Tablas AR'!$B$10,1,IF('Análisis de Riesgos'!G720='Tablas AR'!$B$11,2,IF('Análisis de Riesgos'!G720='Tablas AR'!$B$12,3,"")))</f>
        <v/>
      </c>
      <c r="I720" t="str">
        <f t="shared" si="11"/>
        <v/>
      </c>
    </row>
    <row r="721" spans="2:9" x14ac:dyDescent="0.25">
      <c r="B721" s="24" t="str">
        <f>IFERROR(INDEX(Activos!$B$3:$C$11, MATCH(C721,Activos!$B$3:$B$11),2),"")</f>
        <v/>
      </c>
      <c r="C721" s="24"/>
      <c r="D721" s="24"/>
      <c r="E721" s="23"/>
      <c r="F721" t="str">
        <f>IF(E721='Tablas AR'!$B$4,1,IF('Análisis de Riesgos'!E721='Tablas AR'!$B$5,2,IF('Análisis de Riesgos'!E721='Tablas AR'!$B$6,3,"")))</f>
        <v/>
      </c>
      <c r="G721" s="23"/>
      <c r="H721" t="str">
        <f>IF(G721='Tablas AR'!$B$10,1,IF('Análisis de Riesgos'!G721='Tablas AR'!$B$11,2,IF('Análisis de Riesgos'!G721='Tablas AR'!$B$12,3,"")))</f>
        <v/>
      </c>
      <c r="I721" t="str">
        <f t="shared" si="11"/>
        <v/>
      </c>
    </row>
    <row r="722" spans="2:9" x14ac:dyDescent="0.25">
      <c r="B722" s="24" t="str">
        <f>IFERROR(INDEX(Activos!$B$3:$C$11, MATCH(C722,Activos!$B$3:$B$11),2),"")</f>
        <v/>
      </c>
      <c r="C722" s="24"/>
      <c r="D722" s="24"/>
      <c r="E722" s="23"/>
      <c r="F722" t="str">
        <f>IF(E722='Tablas AR'!$B$4,1,IF('Análisis de Riesgos'!E722='Tablas AR'!$B$5,2,IF('Análisis de Riesgos'!E722='Tablas AR'!$B$6,3,"")))</f>
        <v/>
      </c>
      <c r="G722" s="23"/>
      <c r="H722" t="str">
        <f>IF(G722='Tablas AR'!$B$10,1,IF('Análisis de Riesgos'!G722='Tablas AR'!$B$11,2,IF('Análisis de Riesgos'!G722='Tablas AR'!$B$12,3,"")))</f>
        <v/>
      </c>
      <c r="I722" t="str">
        <f t="shared" si="11"/>
        <v/>
      </c>
    </row>
    <row r="723" spans="2:9" x14ac:dyDescent="0.25">
      <c r="B723" s="24" t="str">
        <f>IFERROR(INDEX(Activos!$B$3:$C$11, MATCH(C723,Activos!$B$3:$B$11),2),"")</f>
        <v/>
      </c>
      <c r="C723" s="24"/>
      <c r="D723" s="24"/>
      <c r="E723" s="23"/>
      <c r="F723" t="str">
        <f>IF(E723='Tablas AR'!$B$4,1,IF('Análisis de Riesgos'!E723='Tablas AR'!$B$5,2,IF('Análisis de Riesgos'!E723='Tablas AR'!$B$6,3,"")))</f>
        <v/>
      </c>
      <c r="G723" s="23"/>
      <c r="H723" t="str">
        <f>IF(G723='Tablas AR'!$B$10,1,IF('Análisis de Riesgos'!G723='Tablas AR'!$B$11,2,IF('Análisis de Riesgos'!G723='Tablas AR'!$B$12,3,"")))</f>
        <v/>
      </c>
      <c r="I723" t="str">
        <f t="shared" si="11"/>
        <v/>
      </c>
    </row>
    <row r="724" spans="2:9" x14ac:dyDescent="0.25">
      <c r="B724" s="24" t="str">
        <f>IFERROR(INDEX(Activos!$B$3:$C$11, MATCH(C724,Activos!$B$3:$B$11),2),"")</f>
        <v/>
      </c>
      <c r="C724" s="24"/>
      <c r="D724" s="24"/>
      <c r="E724" s="23"/>
      <c r="F724" t="str">
        <f>IF(E724='Tablas AR'!$B$4,1,IF('Análisis de Riesgos'!E724='Tablas AR'!$B$5,2,IF('Análisis de Riesgos'!E724='Tablas AR'!$B$6,3,"")))</f>
        <v/>
      </c>
      <c r="G724" s="23"/>
      <c r="H724" t="str">
        <f>IF(G724='Tablas AR'!$B$10,1,IF('Análisis de Riesgos'!G724='Tablas AR'!$B$11,2,IF('Análisis de Riesgos'!G724='Tablas AR'!$B$12,3,"")))</f>
        <v/>
      </c>
      <c r="I724" t="str">
        <f t="shared" si="11"/>
        <v/>
      </c>
    </row>
    <row r="725" spans="2:9" x14ac:dyDescent="0.25">
      <c r="B725" s="24" t="str">
        <f>IFERROR(INDEX(Activos!$B$3:$C$11, MATCH(C725,Activos!$B$3:$B$11),2),"")</f>
        <v/>
      </c>
      <c r="C725" s="24"/>
      <c r="D725" s="24"/>
      <c r="E725" s="23"/>
      <c r="F725" t="str">
        <f>IF(E725='Tablas AR'!$B$4,1,IF('Análisis de Riesgos'!E725='Tablas AR'!$B$5,2,IF('Análisis de Riesgos'!E725='Tablas AR'!$B$6,3,"")))</f>
        <v/>
      </c>
      <c r="G725" s="23"/>
      <c r="H725" t="str">
        <f>IF(G725='Tablas AR'!$B$10,1,IF('Análisis de Riesgos'!G725='Tablas AR'!$B$11,2,IF('Análisis de Riesgos'!G725='Tablas AR'!$B$12,3,"")))</f>
        <v/>
      </c>
      <c r="I725" t="str">
        <f t="shared" si="11"/>
        <v/>
      </c>
    </row>
    <row r="726" spans="2:9" x14ac:dyDescent="0.25">
      <c r="B726" s="24" t="str">
        <f>IFERROR(INDEX(Activos!$B$3:$C$11, MATCH(C726,Activos!$B$3:$B$11),2),"")</f>
        <v/>
      </c>
      <c r="C726" s="24"/>
      <c r="D726" s="24"/>
      <c r="E726" s="23"/>
      <c r="F726" t="str">
        <f>IF(E726='Tablas AR'!$B$4,1,IF('Análisis de Riesgos'!E726='Tablas AR'!$B$5,2,IF('Análisis de Riesgos'!E726='Tablas AR'!$B$6,3,"")))</f>
        <v/>
      </c>
      <c r="G726" s="23"/>
      <c r="H726" t="str">
        <f>IF(G726='Tablas AR'!$B$10,1,IF('Análisis de Riesgos'!G726='Tablas AR'!$B$11,2,IF('Análisis de Riesgos'!G726='Tablas AR'!$B$12,3,"")))</f>
        <v/>
      </c>
      <c r="I726" t="str">
        <f t="shared" si="11"/>
        <v/>
      </c>
    </row>
    <row r="727" spans="2:9" x14ac:dyDescent="0.25">
      <c r="B727" s="24" t="str">
        <f>IFERROR(INDEX(Activos!$B$3:$C$11, MATCH(C727,Activos!$B$3:$B$11),2),"")</f>
        <v/>
      </c>
      <c r="C727" s="24"/>
      <c r="D727" s="24"/>
      <c r="E727" s="23"/>
      <c r="F727" t="str">
        <f>IF(E727='Tablas AR'!$B$4,1,IF('Análisis de Riesgos'!E727='Tablas AR'!$B$5,2,IF('Análisis de Riesgos'!E727='Tablas AR'!$B$6,3,"")))</f>
        <v/>
      </c>
      <c r="G727" s="23"/>
      <c r="H727" t="str">
        <f>IF(G727='Tablas AR'!$B$10,1,IF('Análisis de Riesgos'!G727='Tablas AR'!$B$11,2,IF('Análisis de Riesgos'!G727='Tablas AR'!$B$12,3,"")))</f>
        <v/>
      </c>
      <c r="I727" t="str">
        <f t="shared" si="11"/>
        <v/>
      </c>
    </row>
    <row r="728" spans="2:9" x14ac:dyDescent="0.25">
      <c r="B728" s="24" t="str">
        <f>IFERROR(INDEX(Activos!$B$3:$C$11, MATCH(C728,Activos!$B$3:$B$11),2),"")</f>
        <v/>
      </c>
      <c r="C728" s="24"/>
      <c r="D728" s="24"/>
      <c r="E728" s="23"/>
      <c r="F728" t="str">
        <f>IF(E728='Tablas AR'!$B$4,1,IF('Análisis de Riesgos'!E728='Tablas AR'!$B$5,2,IF('Análisis de Riesgos'!E728='Tablas AR'!$B$6,3,"")))</f>
        <v/>
      </c>
      <c r="G728" s="23"/>
      <c r="H728" t="str">
        <f>IF(G728='Tablas AR'!$B$10,1,IF('Análisis de Riesgos'!G728='Tablas AR'!$B$11,2,IF('Análisis de Riesgos'!G728='Tablas AR'!$B$12,3,"")))</f>
        <v/>
      </c>
      <c r="I728" t="str">
        <f t="shared" si="11"/>
        <v/>
      </c>
    </row>
    <row r="729" spans="2:9" x14ac:dyDescent="0.25">
      <c r="B729" s="24" t="str">
        <f>IFERROR(INDEX(Activos!$B$3:$C$11, MATCH(C729,Activos!$B$3:$B$11),2),"")</f>
        <v/>
      </c>
      <c r="C729" s="24"/>
      <c r="D729" s="24"/>
      <c r="E729" s="23"/>
      <c r="F729" t="str">
        <f>IF(E729='Tablas AR'!$B$4,1,IF('Análisis de Riesgos'!E729='Tablas AR'!$B$5,2,IF('Análisis de Riesgos'!E729='Tablas AR'!$B$6,3,"")))</f>
        <v/>
      </c>
      <c r="G729" s="23"/>
      <c r="H729" t="str">
        <f>IF(G729='Tablas AR'!$B$10,1,IF('Análisis de Riesgos'!G729='Tablas AR'!$B$11,2,IF('Análisis de Riesgos'!G729='Tablas AR'!$B$12,3,"")))</f>
        <v/>
      </c>
      <c r="I729" t="str">
        <f t="shared" si="11"/>
        <v/>
      </c>
    </row>
    <row r="730" spans="2:9" x14ac:dyDescent="0.25">
      <c r="B730" s="24" t="str">
        <f>IFERROR(INDEX(Activos!$B$3:$C$11, MATCH(C730,Activos!$B$3:$B$11),2),"")</f>
        <v/>
      </c>
      <c r="C730" s="24"/>
      <c r="D730" s="24"/>
      <c r="E730" s="23"/>
      <c r="F730" t="str">
        <f>IF(E730='Tablas AR'!$B$4,1,IF('Análisis de Riesgos'!E730='Tablas AR'!$B$5,2,IF('Análisis de Riesgos'!E730='Tablas AR'!$B$6,3,"")))</f>
        <v/>
      </c>
      <c r="G730" s="23"/>
      <c r="H730" t="str">
        <f>IF(G730='Tablas AR'!$B$10,1,IF('Análisis de Riesgos'!G730='Tablas AR'!$B$11,2,IF('Análisis de Riesgos'!G730='Tablas AR'!$B$12,3,"")))</f>
        <v/>
      </c>
      <c r="I730" t="str">
        <f t="shared" si="11"/>
        <v/>
      </c>
    </row>
    <row r="731" spans="2:9" x14ac:dyDescent="0.25">
      <c r="B731" s="24" t="str">
        <f>IFERROR(INDEX(Activos!$B$3:$C$11, MATCH(C731,Activos!$B$3:$B$11),2),"")</f>
        <v/>
      </c>
      <c r="C731" s="24"/>
      <c r="D731" s="24"/>
      <c r="E731" s="23"/>
      <c r="F731" t="str">
        <f>IF(E731='Tablas AR'!$B$4,1,IF('Análisis de Riesgos'!E731='Tablas AR'!$B$5,2,IF('Análisis de Riesgos'!E731='Tablas AR'!$B$6,3,"")))</f>
        <v/>
      </c>
      <c r="G731" s="23"/>
      <c r="H731" t="str">
        <f>IF(G731='Tablas AR'!$B$10,1,IF('Análisis de Riesgos'!G731='Tablas AR'!$B$11,2,IF('Análisis de Riesgos'!G731='Tablas AR'!$B$12,3,"")))</f>
        <v/>
      </c>
      <c r="I731" t="str">
        <f t="shared" si="11"/>
        <v/>
      </c>
    </row>
    <row r="732" spans="2:9" x14ac:dyDescent="0.25">
      <c r="B732" s="24" t="str">
        <f>IFERROR(INDEX(Activos!$B$3:$C$11, MATCH(C732,Activos!$B$3:$B$11),2),"")</f>
        <v/>
      </c>
      <c r="C732" s="24"/>
      <c r="D732" s="24"/>
      <c r="E732" s="23"/>
      <c r="F732" t="str">
        <f>IF(E732='Tablas AR'!$B$4,1,IF('Análisis de Riesgos'!E732='Tablas AR'!$B$5,2,IF('Análisis de Riesgos'!E732='Tablas AR'!$B$6,3,"")))</f>
        <v/>
      </c>
      <c r="G732" s="23"/>
      <c r="H732" t="str">
        <f>IF(G732='Tablas AR'!$B$10,1,IF('Análisis de Riesgos'!G732='Tablas AR'!$B$11,2,IF('Análisis de Riesgos'!G732='Tablas AR'!$B$12,3,"")))</f>
        <v/>
      </c>
      <c r="I732" t="str">
        <f t="shared" si="11"/>
        <v/>
      </c>
    </row>
    <row r="733" spans="2:9" x14ac:dyDescent="0.25">
      <c r="B733" s="24" t="str">
        <f>IFERROR(INDEX(Activos!$B$3:$C$11, MATCH(C733,Activos!$B$3:$B$11),2),"")</f>
        <v/>
      </c>
      <c r="C733" s="24"/>
      <c r="D733" s="24"/>
      <c r="E733" s="23"/>
      <c r="F733" t="str">
        <f>IF(E733='Tablas AR'!$B$4,1,IF('Análisis de Riesgos'!E733='Tablas AR'!$B$5,2,IF('Análisis de Riesgos'!E733='Tablas AR'!$B$6,3,"")))</f>
        <v/>
      </c>
      <c r="G733" s="23"/>
      <c r="H733" t="str">
        <f>IF(G733='Tablas AR'!$B$10,1,IF('Análisis de Riesgos'!G733='Tablas AR'!$B$11,2,IF('Análisis de Riesgos'!G733='Tablas AR'!$B$12,3,"")))</f>
        <v/>
      </c>
      <c r="I733" t="str">
        <f t="shared" si="11"/>
        <v/>
      </c>
    </row>
    <row r="734" spans="2:9" x14ac:dyDescent="0.25">
      <c r="B734" s="24" t="str">
        <f>IFERROR(INDEX(Activos!$B$3:$C$11, MATCH(C734,Activos!$B$3:$B$11),2),"")</f>
        <v/>
      </c>
      <c r="C734" s="24"/>
      <c r="D734" s="24"/>
      <c r="E734" s="23"/>
      <c r="F734" t="str">
        <f>IF(E734='Tablas AR'!$B$4,1,IF('Análisis de Riesgos'!E734='Tablas AR'!$B$5,2,IF('Análisis de Riesgos'!E734='Tablas AR'!$B$6,3,"")))</f>
        <v/>
      </c>
      <c r="G734" s="23"/>
      <c r="H734" t="str">
        <f>IF(G734='Tablas AR'!$B$10,1,IF('Análisis de Riesgos'!G734='Tablas AR'!$B$11,2,IF('Análisis de Riesgos'!G734='Tablas AR'!$B$12,3,"")))</f>
        <v/>
      </c>
      <c r="I734" t="str">
        <f t="shared" si="11"/>
        <v/>
      </c>
    </row>
    <row r="735" spans="2:9" x14ac:dyDescent="0.25">
      <c r="B735" s="24" t="str">
        <f>IFERROR(INDEX(Activos!$B$3:$C$11, MATCH(C735,Activos!$B$3:$B$11),2),"")</f>
        <v/>
      </c>
      <c r="C735" s="24"/>
      <c r="D735" s="24"/>
      <c r="E735" s="23"/>
      <c r="F735" t="str">
        <f>IF(E735='Tablas AR'!$B$4,1,IF('Análisis de Riesgos'!E735='Tablas AR'!$B$5,2,IF('Análisis de Riesgos'!E735='Tablas AR'!$B$6,3,"")))</f>
        <v/>
      </c>
      <c r="G735" s="23"/>
      <c r="H735" t="str">
        <f>IF(G735='Tablas AR'!$B$10,1,IF('Análisis de Riesgos'!G735='Tablas AR'!$B$11,2,IF('Análisis de Riesgos'!G735='Tablas AR'!$B$12,3,"")))</f>
        <v/>
      </c>
      <c r="I735" t="str">
        <f t="shared" si="11"/>
        <v/>
      </c>
    </row>
    <row r="736" spans="2:9" x14ac:dyDescent="0.25">
      <c r="B736" s="24" t="str">
        <f>IFERROR(INDEX(Activos!$B$3:$C$11, MATCH(C736,Activos!$B$3:$B$11),2),"")</f>
        <v/>
      </c>
      <c r="C736" s="24"/>
      <c r="D736" s="24"/>
      <c r="E736" s="23"/>
      <c r="F736" t="str">
        <f>IF(E736='Tablas AR'!$B$4,1,IF('Análisis de Riesgos'!E736='Tablas AR'!$B$5,2,IF('Análisis de Riesgos'!E736='Tablas AR'!$B$6,3,"")))</f>
        <v/>
      </c>
      <c r="G736" s="23"/>
      <c r="H736" t="str">
        <f>IF(G736='Tablas AR'!$B$10,1,IF('Análisis de Riesgos'!G736='Tablas AR'!$B$11,2,IF('Análisis de Riesgos'!G736='Tablas AR'!$B$12,3,"")))</f>
        <v/>
      </c>
      <c r="I736" t="str">
        <f t="shared" si="11"/>
        <v/>
      </c>
    </row>
    <row r="737" spans="2:9" x14ac:dyDescent="0.25">
      <c r="B737" s="24" t="str">
        <f>IFERROR(INDEX(Activos!$B$3:$C$11, MATCH(C737,Activos!$B$3:$B$11),2),"")</f>
        <v/>
      </c>
      <c r="C737" s="24"/>
      <c r="D737" s="24"/>
      <c r="E737" s="23"/>
      <c r="F737" t="str">
        <f>IF(E737='Tablas AR'!$B$4,1,IF('Análisis de Riesgos'!E737='Tablas AR'!$B$5,2,IF('Análisis de Riesgos'!E737='Tablas AR'!$B$6,3,"")))</f>
        <v/>
      </c>
      <c r="G737" s="23"/>
      <c r="H737" t="str">
        <f>IF(G737='Tablas AR'!$B$10,1,IF('Análisis de Riesgos'!G737='Tablas AR'!$B$11,2,IF('Análisis de Riesgos'!G737='Tablas AR'!$B$12,3,"")))</f>
        <v/>
      </c>
      <c r="I737" t="str">
        <f t="shared" si="11"/>
        <v/>
      </c>
    </row>
    <row r="738" spans="2:9" x14ac:dyDescent="0.25">
      <c r="B738" s="24" t="str">
        <f>IFERROR(INDEX(Activos!$B$3:$C$11, MATCH(C738,Activos!$B$3:$B$11),2),"")</f>
        <v/>
      </c>
      <c r="C738" s="24"/>
      <c r="D738" s="24"/>
      <c r="E738" s="23"/>
      <c r="F738" t="str">
        <f>IF(E738='Tablas AR'!$B$4,1,IF('Análisis de Riesgos'!E738='Tablas AR'!$B$5,2,IF('Análisis de Riesgos'!E738='Tablas AR'!$B$6,3,"")))</f>
        <v/>
      </c>
      <c r="G738" s="23"/>
      <c r="H738" t="str">
        <f>IF(G738='Tablas AR'!$B$10,1,IF('Análisis de Riesgos'!G738='Tablas AR'!$B$11,2,IF('Análisis de Riesgos'!G738='Tablas AR'!$B$12,3,"")))</f>
        <v/>
      </c>
      <c r="I738" t="str">
        <f t="shared" si="11"/>
        <v/>
      </c>
    </row>
    <row r="739" spans="2:9" x14ac:dyDescent="0.25">
      <c r="B739" s="24" t="str">
        <f>IFERROR(INDEX(Activos!$B$3:$C$11, MATCH(C739,Activos!$B$3:$B$11),2),"")</f>
        <v/>
      </c>
      <c r="C739" s="24"/>
      <c r="D739" s="24"/>
      <c r="E739" s="23"/>
      <c r="F739" t="str">
        <f>IF(E739='Tablas AR'!$B$4,1,IF('Análisis de Riesgos'!E739='Tablas AR'!$B$5,2,IF('Análisis de Riesgos'!E739='Tablas AR'!$B$6,3,"")))</f>
        <v/>
      </c>
      <c r="G739" s="23"/>
      <c r="H739" t="str">
        <f>IF(G739='Tablas AR'!$B$10,1,IF('Análisis de Riesgos'!G739='Tablas AR'!$B$11,2,IF('Análisis de Riesgos'!G739='Tablas AR'!$B$12,3,"")))</f>
        <v/>
      </c>
      <c r="I739" t="str">
        <f t="shared" si="11"/>
        <v/>
      </c>
    </row>
    <row r="740" spans="2:9" x14ac:dyDescent="0.25">
      <c r="B740" s="24" t="str">
        <f>IFERROR(INDEX(Activos!$B$3:$C$11, MATCH(C740,Activos!$B$3:$B$11),2),"")</f>
        <v/>
      </c>
      <c r="C740" s="24"/>
      <c r="D740" s="24"/>
      <c r="E740" s="23"/>
      <c r="F740" t="str">
        <f>IF(E740='Tablas AR'!$B$4,1,IF('Análisis de Riesgos'!E740='Tablas AR'!$B$5,2,IF('Análisis de Riesgos'!E740='Tablas AR'!$B$6,3,"")))</f>
        <v/>
      </c>
      <c r="G740" s="23"/>
      <c r="H740" t="str">
        <f>IF(G740='Tablas AR'!$B$10,1,IF('Análisis de Riesgos'!G740='Tablas AR'!$B$11,2,IF('Análisis de Riesgos'!G740='Tablas AR'!$B$12,3,"")))</f>
        <v/>
      </c>
      <c r="I740" t="str">
        <f t="shared" si="11"/>
        <v/>
      </c>
    </row>
    <row r="741" spans="2:9" x14ac:dyDescent="0.25">
      <c r="B741" s="24" t="str">
        <f>IFERROR(INDEX(Activos!$B$3:$C$11, MATCH(C741,Activos!$B$3:$B$11),2),"")</f>
        <v/>
      </c>
      <c r="C741" s="24"/>
      <c r="D741" s="24"/>
      <c r="E741" s="23"/>
      <c r="F741" t="str">
        <f>IF(E741='Tablas AR'!$B$4,1,IF('Análisis de Riesgos'!E741='Tablas AR'!$B$5,2,IF('Análisis de Riesgos'!E741='Tablas AR'!$B$6,3,"")))</f>
        <v/>
      </c>
      <c r="G741" s="23"/>
      <c r="H741" t="str">
        <f>IF(G741='Tablas AR'!$B$10,1,IF('Análisis de Riesgos'!G741='Tablas AR'!$B$11,2,IF('Análisis de Riesgos'!G741='Tablas AR'!$B$12,3,"")))</f>
        <v/>
      </c>
      <c r="I741" t="str">
        <f t="shared" si="11"/>
        <v/>
      </c>
    </row>
    <row r="742" spans="2:9" x14ac:dyDescent="0.25">
      <c r="B742" s="24" t="str">
        <f>IFERROR(INDEX(Activos!$B$3:$C$11, MATCH(C742,Activos!$B$3:$B$11),2),"")</f>
        <v/>
      </c>
      <c r="C742" s="24"/>
      <c r="D742" s="24"/>
      <c r="E742" s="23"/>
      <c r="F742" t="str">
        <f>IF(E742='Tablas AR'!$B$4,1,IF('Análisis de Riesgos'!E742='Tablas AR'!$B$5,2,IF('Análisis de Riesgos'!E742='Tablas AR'!$B$6,3,"")))</f>
        <v/>
      </c>
      <c r="G742" s="23"/>
      <c r="H742" t="str">
        <f>IF(G742='Tablas AR'!$B$10,1,IF('Análisis de Riesgos'!G742='Tablas AR'!$B$11,2,IF('Análisis de Riesgos'!G742='Tablas AR'!$B$12,3,"")))</f>
        <v/>
      </c>
      <c r="I742" t="str">
        <f t="shared" si="11"/>
        <v/>
      </c>
    </row>
    <row r="743" spans="2:9" x14ac:dyDescent="0.25">
      <c r="B743" s="24" t="str">
        <f>IFERROR(INDEX(Activos!$B$3:$C$11, MATCH(C743,Activos!$B$3:$B$11),2),"")</f>
        <v/>
      </c>
      <c r="C743" s="24"/>
      <c r="D743" s="24"/>
      <c r="E743" s="23"/>
      <c r="F743" t="str">
        <f>IF(E743='Tablas AR'!$B$4,1,IF('Análisis de Riesgos'!E743='Tablas AR'!$B$5,2,IF('Análisis de Riesgos'!E743='Tablas AR'!$B$6,3,"")))</f>
        <v/>
      </c>
      <c r="G743" s="23"/>
      <c r="H743" t="str">
        <f>IF(G743='Tablas AR'!$B$10,1,IF('Análisis de Riesgos'!G743='Tablas AR'!$B$11,2,IF('Análisis de Riesgos'!G743='Tablas AR'!$B$12,3,"")))</f>
        <v/>
      </c>
      <c r="I743" t="str">
        <f t="shared" si="11"/>
        <v/>
      </c>
    </row>
    <row r="744" spans="2:9" x14ac:dyDescent="0.25">
      <c r="B744" s="24" t="str">
        <f>IFERROR(INDEX(Activos!$B$3:$C$11, MATCH(C744,Activos!$B$3:$B$11),2),"")</f>
        <v/>
      </c>
      <c r="C744" s="24"/>
      <c r="D744" s="24"/>
      <c r="E744" s="23"/>
      <c r="F744" t="str">
        <f>IF(E744='Tablas AR'!$B$4,1,IF('Análisis de Riesgos'!E744='Tablas AR'!$B$5,2,IF('Análisis de Riesgos'!E744='Tablas AR'!$B$6,3,"")))</f>
        <v/>
      </c>
      <c r="G744" s="23"/>
      <c r="H744" t="str">
        <f>IF(G744='Tablas AR'!$B$10,1,IF('Análisis de Riesgos'!G744='Tablas AR'!$B$11,2,IF('Análisis de Riesgos'!G744='Tablas AR'!$B$12,3,"")))</f>
        <v/>
      </c>
      <c r="I744" t="str">
        <f t="shared" si="11"/>
        <v/>
      </c>
    </row>
    <row r="745" spans="2:9" x14ac:dyDescent="0.25">
      <c r="B745" s="24" t="str">
        <f>IFERROR(INDEX(Activos!$B$3:$C$11, MATCH(C745,Activos!$B$3:$B$11),2),"")</f>
        <v/>
      </c>
      <c r="C745" s="24"/>
      <c r="D745" s="24"/>
      <c r="E745" s="23"/>
      <c r="F745" t="str">
        <f>IF(E745='Tablas AR'!$B$4,1,IF('Análisis de Riesgos'!E745='Tablas AR'!$B$5,2,IF('Análisis de Riesgos'!E745='Tablas AR'!$B$6,3,"")))</f>
        <v/>
      </c>
      <c r="G745" s="23"/>
      <c r="H745" t="str">
        <f>IF(G745='Tablas AR'!$B$10,1,IF('Análisis de Riesgos'!G745='Tablas AR'!$B$11,2,IF('Análisis de Riesgos'!G745='Tablas AR'!$B$12,3,"")))</f>
        <v/>
      </c>
      <c r="I745" t="str">
        <f t="shared" si="11"/>
        <v/>
      </c>
    </row>
    <row r="746" spans="2:9" x14ac:dyDescent="0.25">
      <c r="B746" s="24" t="str">
        <f>IFERROR(INDEX(Activos!$B$3:$C$11, MATCH(C746,Activos!$B$3:$B$11),2),"")</f>
        <v/>
      </c>
      <c r="C746" s="24"/>
      <c r="D746" s="24"/>
      <c r="E746" s="23"/>
      <c r="F746" t="str">
        <f>IF(E746='Tablas AR'!$B$4,1,IF('Análisis de Riesgos'!E746='Tablas AR'!$B$5,2,IF('Análisis de Riesgos'!E746='Tablas AR'!$B$6,3,"")))</f>
        <v/>
      </c>
      <c r="G746" s="23"/>
      <c r="H746" t="str">
        <f>IF(G746='Tablas AR'!$B$10,1,IF('Análisis de Riesgos'!G746='Tablas AR'!$B$11,2,IF('Análisis de Riesgos'!G746='Tablas AR'!$B$12,3,"")))</f>
        <v/>
      </c>
      <c r="I746" t="str">
        <f t="shared" si="11"/>
        <v/>
      </c>
    </row>
    <row r="747" spans="2:9" x14ac:dyDescent="0.25">
      <c r="B747" s="24" t="str">
        <f>IFERROR(INDEX(Activos!$B$3:$C$11, MATCH(C747,Activos!$B$3:$B$11),2),"")</f>
        <v/>
      </c>
      <c r="C747" s="24"/>
      <c r="D747" s="24"/>
      <c r="E747" s="23"/>
      <c r="F747" t="str">
        <f>IF(E747='Tablas AR'!$B$4,1,IF('Análisis de Riesgos'!E747='Tablas AR'!$B$5,2,IF('Análisis de Riesgos'!E747='Tablas AR'!$B$6,3,"")))</f>
        <v/>
      </c>
      <c r="G747" s="23"/>
      <c r="H747" t="str">
        <f>IF(G747='Tablas AR'!$B$10,1,IF('Análisis de Riesgos'!G747='Tablas AR'!$B$11,2,IF('Análisis de Riesgos'!G747='Tablas AR'!$B$12,3,"")))</f>
        <v/>
      </c>
      <c r="I747" t="str">
        <f t="shared" si="11"/>
        <v/>
      </c>
    </row>
    <row r="748" spans="2:9" x14ac:dyDescent="0.25">
      <c r="B748" s="24" t="str">
        <f>IFERROR(INDEX(Activos!$B$3:$C$11, MATCH(C748,Activos!$B$3:$B$11),2),"")</f>
        <v/>
      </c>
      <c r="C748" s="24"/>
      <c r="D748" s="24"/>
      <c r="E748" s="23"/>
      <c r="F748" t="str">
        <f>IF(E748='Tablas AR'!$B$4,1,IF('Análisis de Riesgos'!E748='Tablas AR'!$B$5,2,IF('Análisis de Riesgos'!E748='Tablas AR'!$B$6,3,"")))</f>
        <v/>
      </c>
      <c r="G748" s="23"/>
      <c r="H748" t="str">
        <f>IF(G748='Tablas AR'!$B$10,1,IF('Análisis de Riesgos'!G748='Tablas AR'!$B$11,2,IF('Análisis de Riesgos'!G748='Tablas AR'!$B$12,3,"")))</f>
        <v/>
      </c>
      <c r="I748" t="str">
        <f t="shared" si="11"/>
        <v/>
      </c>
    </row>
    <row r="749" spans="2:9" x14ac:dyDescent="0.25">
      <c r="B749" s="24" t="str">
        <f>IFERROR(INDEX(Activos!$B$3:$C$11, MATCH(C749,Activos!$B$3:$B$11),2),"")</f>
        <v/>
      </c>
      <c r="C749" s="24"/>
      <c r="D749" s="24"/>
      <c r="E749" s="23"/>
      <c r="F749" t="str">
        <f>IF(E749='Tablas AR'!$B$4,1,IF('Análisis de Riesgos'!E749='Tablas AR'!$B$5,2,IF('Análisis de Riesgos'!E749='Tablas AR'!$B$6,3,"")))</f>
        <v/>
      </c>
      <c r="G749" s="23"/>
      <c r="H749" t="str">
        <f>IF(G749='Tablas AR'!$B$10,1,IF('Análisis de Riesgos'!G749='Tablas AR'!$B$11,2,IF('Análisis de Riesgos'!G749='Tablas AR'!$B$12,3,"")))</f>
        <v/>
      </c>
      <c r="I749" t="str">
        <f t="shared" si="11"/>
        <v/>
      </c>
    </row>
    <row r="750" spans="2:9" x14ac:dyDescent="0.25">
      <c r="B750" s="24" t="str">
        <f>IFERROR(INDEX(Activos!$B$3:$C$11, MATCH(C750,Activos!$B$3:$B$11),2),"")</f>
        <v/>
      </c>
      <c r="C750" s="24"/>
      <c r="D750" s="24"/>
      <c r="E750" s="23"/>
      <c r="F750" t="str">
        <f>IF(E750='Tablas AR'!$B$4,1,IF('Análisis de Riesgos'!E750='Tablas AR'!$B$5,2,IF('Análisis de Riesgos'!E750='Tablas AR'!$B$6,3,"")))</f>
        <v/>
      </c>
      <c r="G750" s="23"/>
      <c r="H750" t="str">
        <f>IF(G750='Tablas AR'!$B$10,1,IF('Análisis de Riesgos'!G750='Tablas AR'!$B$11,2,IF('Análisis de Riesgos'!G750='Tablas AR'!$B$12,3,"")))</f>
        <v/>
      </c>
      <c r="I750" t="str">
        <f t="shared" si="11"/>
        <v/>
      </c>
    </row>
    <row r="751" spans="2:9" x14ac:dyDescent="0.25">
      <c r="B751" s="24" t="str">
        <f>IFERROR(INDEX(Activos!$B$3:$C$11, MATCH(C751,Activos!$B$3:$B$11),2),"")</f>
        <v/>
      </c>
      <c r="C751" s="24"/>
      <c r="D751" s="24"/>
      <c r="E751" s="23"/>
      <c r="F751" t="str">
        <f>IF(E751='Tablas AR'!$B$4,1,IF('Análisis de Riesgos'!E751='Tablas AR'!$B$5,2,IF('Análisis de Riesgos'!E751='Tablas AR'!$B$6,3,"")))</f>
        <v/>
      </c>
      <c r="G751" s="23"/>
      <c r="H751" t="str">
        <f>IF(G751='Tablas AR'!$B$10,1,IF('Análisis de Riesgos'!G751='Tablas AR'!$B$11,2,IF('Análisis de Riesgos'!G751='Tablas AR'!$B$12,3,"")))</f>
        <v/>
      </c>
      <c r="I751" t="str">
        <f t="shared" si="11"/>
        <v/>
      </c>
    </row>
    <row r="752" spans="2:9" x14ac:dyDescent="0.25">
      <c r="B752" s="24" t="str">
        <f>IFERROR(INDEX(Activos!$B$3:$C$11, MATCH(C752,Activos!$B$3:$B$11),2),"")</f>
        <v/>
      </c>
      <c r="C752" s="24"/>
      <c r="D752" s="24"/>
      <c r="E752" s="23"/>
      <c r="F752" t="str">
        <f>IF(E752='Tablas AR'!$B$4,1,IF('Análisis de Riesgos'!E752='Tablas AR'!$B$5,2,IF('Análisis de Riesgos'!E752='Tablas AR'!$B$6,3,"")))</f>
        <v/>
      </c>
      <c r="G752" s="23"/>
      <c r="H752" t="str">
        <f>IF(G752='Tablas AR'!$B$10,1,IF('Análisis de Riesgos'!G752='Tablas AR'!$B$11,2,IF('Análisis de Riesgos'!G752='Tablas AR'!$B$12,3,"")))</f>
        <v/>
      </c>
      <c r="I752" t="str">
        <f t="shared" si="11"/>
        <v/>
      </c>
    </row>
    <row r="753" spans="2:9" x14ac:dyDescent="0.25">
      <c r="B753" s="24" t="str">
        <f>IFERROR(INDEX(Activos!$B$3:$C$11, MATCH(C753,Activos!$B$3:$B$11),2),"")</f>
        <v/>
      </c>
      <c r="C753" s="24"/>
      <c r="D753" s="24"/>
      <c r="E753" s="23"/>
      <c r="F753" t="str">
        <f>IF(E753='Tablas AR'!$B$4,1,IF('Análisis de Riesgos'!E753='Tablas AR'!$B$5,2,IF('Análisis de Riesgos'!E753='Tablas AR'!$B$6,3,"")))</f>
        <v/>
      </c>
      <c r="G753" s="23"/>
      <c r="H753" t="str">
        <f>IF(G753='Tablas AR'!$B$10,1,IF('Análisis de Riesgos'!G753='Tablas AR'!$B$11,2,IF('Análisis de Riesgos'!G753='Tablas AR'!$B$12,3,"")))</f>
        <v/>
      </c>
      <c r="I753" t="str">
        <f t="shared" si="11"/>
        <v/>
      </c>
    </row>
    <row r="754" spans="2:9" x14ac:dyDescent="0.25">
      <c r="B754" s="24" t="str">
        <f>IFERROR(INDEX(Activos!$B$3:$C$11, MATCH(C754,Activos!$B$3:$B$11),2),"")</f>
        <v/>
      </c>
      <c r="C754" s="24"/>
      <c r="D754" s="24"/>
      <c r="E754" s="23"/>
      <c r="F754" t="str">
        <f>IF(E754='Tablas AR'!$B$4,1,IF('Análisis de Riesgos'!E754='Tablas AR'!$B$5,2,IF('Análisis de Riesgos'!E754='Tablas AR'!$B$6,3,"")))</f>
        <v/>
      </c>
      <c r="G754" s="23"/>
      <c r="H754" t="str">
        <f>IF(G754='Tablas AR'!$B$10,1,IF('Análisis de Riesgos'!G754='Tablas AR'!$B$11,2,IF('Análisis de Riesgos'!G754='Tablas AR'!$B$12,3,"")))</f>
        <v/>
      </c>
      <c r="I754" t="str">
        <f t="shared" si="11"/>
        <v/>
      </c>
    </row>
    <row r="755" spans="2:9" x14ac:dyDescent="0.25">
      <c r="B755" s="24" t="str">
        <f>IFERROR(INDEX(Activos!$B$3:$C$11, MATCH(C755,Activos!$B$3:$B$11),2),"")</f>
        <v/>
      </c>
      <c r="C755" s="24"/>
      <c r="D755" s="24"/>
      <c r="E755" s="23"/>
      <c r="F755" t="str">
        <f>IF(E755='Tablas AR'!$B$4,1,IF('Análisis de Riesgos'!E755='Tablas AR'!$B$5,2,IF('Análisis de Riesgos'!E755='Tablas AR'!$B$6,3,"")))</f>
        <v/>
      </c>
      <c r="G755" s="23"/>
      <c r="H755" t="str">
        <f>IF(G755='Tablas AR'!$B$10,1,IF('Análisis de Riesgos'!G755='Tablas AR'!$B$11,2,IF('Análisis de Riesgos'!G755='Tablas AR'!$B$12,3,"")))</f>
        <v/>
      </c>
      <c r="I755" t="str">
        <f t="shared" si="11"/>
        <v/>
      </c>
    </row>
    <row r="756" spans="2:9" x14ac:dyDescent="0.25">
      <c r="B756" s="24" t="str">
        <f>IFERROR(INDEX(Activos!$B$3:$C$11, MATCH(C756,Activos!$B$3:$B$11),2),"")</f>
        <v/>
      </c>
      <c r="C756" s="24"/>
      <c r="D756" s="24"/>
      <c r="E756" s="23"/>
      <c r="F756" t="str">
        <f>IF(E756='Tablas AR'!$B$4,1,IF('Análisis de Riesgos'!E756='Tablas AR'!$B$5,2,IF('Análisis de Riesgos'!E756='Tablas AR'!$B$6,3,"")))</f>
        <v/>
      </c>
      <c r="G756" s="23"/>
      <c r="H756" t="str">
        <f>IF(G756='Tablas AR'!$B$10,1,IF('Análisis de Riesgos'!G756='Tablas AR'!$B$11,2,IF('Análisis de Riesgos'!G756='Tablas AR'!$B$12,3,"")))</f>
        <v/>
      </c>
      <c r="I756" t="str">
        <f t="shared" si="11"/>
        <v/>
      </c>
    </row>
    <row r="757" spans="2:9" x14ac:dyDescent="0.25">
      <c r="B757" s="24" t="str">
        <f>IFERROR(INDEX(Activos!$B$3:$C$11, MATCH(C757,Activos!$B$3:$B$11),2),"")</f>
        <v/>
      </c>
      <c r="C757" s="24"/>
      <c r="D757" s="24"/>
      <c r="E757" s="23"/>
      <c r="F757" t="str">
        <f>IF(E757='Tablas AR'!$B$4,1,IF('Análisis de Riesgos'!E757='Tablas AR'!$B$5,2,IF('Análisis de Riesgos'!E757='Tablas AR'!$B$6,3,"")))</f>
        <v/>
      </c>
      <c r="G757" s="23"/>
      <c r="H757" t="str">
        <f>IF(G757='Tablas AR'!$B$10,1,IF('Análisis de Riesgos'!G757='Tablas AR'!$B$11,2,IF('Análisis de Riesgos'!G757='Tablas AR'!$B$12,3,"")))</f>
        <v/>
      </c>
      <c r="I757" t="str">
        <f t="shared" si="11"/>
        <v/>
      </c>
    </row>
    <row r="758" spans="2:9" x14ac:dyDescent="0.25">
      <c r="B758" s="24" t="str">
        <f>IFERROR(INDEX(Activos!$B$3:$C$11, MATCH(C758,Activos!$B$3:$B$11),2),"")</f>
        <v/>
      </c>
      <c r="C758" s="24"/>
      <c r="D758" s="24"/>
      <c r="E758" s="23"/>
      <c r="F758" t="str">
        <f>IF(E758='Tablas AR'!$B$4,1,IF('Análisis de Riesgos'!E758='Tablas AR'!$B$5,2,IF('Análisis de Riesgos'!E758='Tablas AR'!$B$6,3,"")))</f>
        <v/>
      </c>
      <c r="G758" s="23"/>
      <c r="H758" t="str">
        <f>IF(G758='Tablas AR'!$B$10,1,IF('Análisis de Riesgos'!G758='Tablas AR'!$B$11,2,IF('Análisis de Riesgos'!G758='Tablas AR'!$B$12,3,"")))</f>
        <v/>
      </c>
      <c r="I758" t="str">
        <f t="shared" si="11"/>
        <v/>
      </c>
    </row>
    <row r="759" spans="2:9" x14ac:dyDescent="0.25">
      <c r="B759" s="24" t="str">
        <f>IFERROR(INDEX(Activos!$B$3:$C$11, MATCH(C759,Activos!$B$3:$B$11),2),"")</f>
        <v/>
      </c>
      <c r="C759" s="24"/>
      <c r="D759" s="24"/>
      <c r="E759" s="23"/>
      <c r="F759" t="str">
        <f>IF(E759='Tablas AR'!$B$4,1,IF('Análisis de Riesgos'!E759='Tablas AR'!$B$5,2,IF('Análisis de Riesgos'!E759='Tablas AR'!$B$6,3,"")))</f>
        <v/>
      </c>
      <c r="G759" s="23"/>
      <c r="H759" t="str">
        <f>IF(G759='Tablas AR'!$B$10,1,IF('Análisis de Riesgos'!G759='Tablas AR'!$B$11,2,IF('Análisis de Riesgos'!G759='Tablas AR'!$B$12,3,"")))</f>
        <v/>
      </c>
      <c r="I759" t="str">
        <f t="shared" si="11"/>
        <v/>
      </c>
    </row>
    <row r="760" spans="2:9" x14ac:dyDescent="0.25">
      <c r="B760" s="24" t="str">
        <f>IFERROR(INDEX(Activos!$B$3:$C$11, MATCH(C760,Activos!$B$3:$B$11),2),"")</f>
        <v/>
      </c>
      <c r="C760" s="24"/>
      <c r="D760" s="24"/>
      <c r="E760" s="23"/>
      <c r="F760" t="str">
        <f>IF(E760='Tablas AR'!$B$4,1,IF('Análisis de Riesgos'!E760='Tablas AR'!$B$5,2,IF('Análisis de Riesgos'!E760='Tablas AR'!$B$6,3,"")))</f>
        <v/>
      </c>
      <c r="G760" s="23"/>
      <c r="H760" t="str">
        <f>IF(G760='Tablas AR'!$B$10,1,IF('Análisis de Riesgos'!G760='Tablas AR'!$B$11,2,IF('Análisis de Riesgos'!G760='Tablas AR'!$B$12,3,"")))</f>
        <v/>
      </c>
      <c r="I760" t="str">
        <f t="shared" si="11"/>
        <v/>
      </c>
    </row>
    <row r="761" spans="2:9" x14ac:dyDescent="0.25">
      <c r="B761" s="24" t="str">
        <f>IFERROR(INDEX(Activos!$B$3:$C$11, MATCH(C761,Activos!$B$3:$B$11),2),"")</f>
        <v/>
      </c>
      <c r="C761" s="24"/>
      <c r="D761" s="24"/>
      <c r="E761" s="23"/>
      <c r="F761" t="str">
        <f>IF(E761='Tablas AR'!$B$4,1,IF('Análisis de Riesgos'!E761='Tablas AR'!$B$5,2,IF('Análisis de Riesgos'!E761='Tablas AR'!$B$6,3,"")))</f>
        <v/>
      </c>
      <c r="G761" s="23"/>
      <c r="H761" t="str">
        <f>IF(G761='Tablas AR'!$B$10,1,IF('Análisis de Riesgos'!G761='Tablas AR'!$B$11,2,IF('Análisis de Riesgos'!G761='Tablas AR'!$B$12,3,"")))</f>
        <v/>
      </c>
      <c r="I761" t="str">
        <f t="shared" si="11"/>
        <v/>
      </c>
    </row>
    <row r="762" spans="2:9" x14ac:dyDescent="0.25">
      <c r="B762" s="24" t="str">
        <f>IFERROR(INDEX(Activos!$B$3:$C$11, MATCH(C762,Activos!$B$3:$B$11),2),"")</f>
        <v/>
      </c>
      <c r="C762" s="24"/>
      <c r="D762" s="24"/>
      <c r="E762" s="23"/>
      <c r="F762" t="str">
        <f>IF(E762='Tablas AR'!$B$4,1,IF('Análisis de Riesgos'!E762='Tablas AR'!$B$5,2,IF('Análisis de Riesgos'!E762='Tablas AR'!$B$6,3,"")))</f>
        <v/>
      </c>
      <c r="G762" s="23"/>
      <c r="H762" t="str">
        <f>IF(G762='Tablas AR'!$B$10,1,IF('Análisis de Riesgos'!G762='Tablas AR'!$B$11,2,IF('Análisis de Riesgos'!G762='Tablas AR'!$B$12,3,"")))</f>
        <v/>
      </c>
      <c r="I762" t="str">
        <f t="shared" si="11"/>
        <v/>
      </c>
    </row>
    <row r="763" spans="2:9" x14ac:dyDescent="0.25">
      <c r="B763" s="24" t="str">
        <f>IFERROR(INDEX(Activos!$B$3:$C$11, MATCH(C763,Activos!$B$3:$B$11),2),"")</f>
        <v/>
      </c>
      <c r="C763" s="24"/>
      <c r="D763" s="24"/>
      <c r="E763" s="23"/>
      <c r="F763" t="str">
        <f>IF(E763='Tablas AR'!$B$4,1,IF('Análisis de Riesgos'!E763='Tablas AR'!$B$5,2,IF('Análisis de Riesgos'!E763='Tablas AR'!$B$6,3,"")))</f>
        <v/>
      </c>
      <c r="G763" s="23"/>
      <c r="H763" t="str">
        <f>IF(G763='Tablas AR'!$B$10,1,IF('Análisis de Riesgos'!G763='Tablas AR'!$B$11,2,IF('Análisis de Riesgos'!G763='Tablas AR'!$B$12,3,"")))</f>
        <v/>
      </c>
      <c r="I763" t="str">
        <f t="shared" si="11"/>
        <v/>
      </c>
    </row>
    <row r="764" spans="2:9" x14ac:dyDescent="0.25">
      <c r="B764" s="24" t="str">
        <f>IFERROR(INDEX(Activos!$B$3:$C$11, MATCH(C764,Activos!$B$3:$B$11),2),"")</f>
        <v/>
      </c>
      <c r="C764" s="24"/>
      <c r="D764" s="24"/>
      <c r="E764" s="23"/>
      <c r="F764" t="str">
        <f>IF(E764='Tablas AR'!$B$4,1,IF('Análisis de Riesgos'!E764='Tablas AR'!$B$5,2,IF('Análisis de Riesgos'!E764='Tablas AR'!$B$6,3,"")))</f>
        <v/>
      </c>
      <c r="G764" s="23"/>
      <c r="H764" t="str">
        <f>IF(G764='Tablas AR'!$B$10,1,IF('Análisis de Riesgos'!G764='Tablas AR'!$B$11,2,IF('Análisis de Riesgos'!G764='Tablas AR'!$B$12,3,"")))</f>
        <v/>
      </c>
      <c r="I764" t="str">
        <f t="shared" si="11"/>
        <v/>
      </c>
    </row>
    <row r="765" spans="2:9" x14ac:dyDescent="0.25">
      <c r="B765" s="24" t="str">
        <f>IFERROR(INDEX(Activos!$B$3:$C$11, MATCH(C765,Activos!$B$3:$B$11),2),"")</f>
        <v/>
      </c>
      <c r="C765" s="24"/>
      <c r="D765" s="24"/>
      <c r="E765" s="23"/>
      <c r="F765" t="str">
        <f>IF(E765='Tablas AR'!$B$4,1,IF('Análisis de Riesgos'!E765='Tablas AR'!$B$5,2,IF('Análisis de Riesgos'!E765='Tablas AR'!$B$6,3,"")))</f>
        <v/>
      </c>
      <c r="G765" s="23"/>
      <c r="H765" t="str">
        <f>IF(G765='Tablas AR'!$B$10,1,IF('Análisis de Riesgos'!G765='Tablas AR'!$B$11,2,IF('Análisis de Riesgos'!G765='Tablas AR'!$B$12,3,"")))</f>
        <v/>
      </c>
      <c r="I765" t="str">
        <f t="shared" si="11"/>
        <v/>
      </c>
    </row>
    <row r="766" spans="2:9" x14ac:dyDescent="0.25">
      <c r="B766" s="24" t="str">
        <f>IFERROR(INDEX(Activos!$B$3:$C$11, MATCH(C766,Activos!$B$3:$B$11),2),"")</f>
        <v/>
      </c>
      <c r="C766" s="24"/>
      <c r="D766" s="24"/>
      <c r="E766" s="23"/>
      <c r="F766" t="str">
        <f>IF(E766='Tablas AR'!$B$4,1,IF('Análisis de Riesgos'!E766='Tablas AR'!$B$5,2,IF('Análisis de Riesgos'!E766='Tablas AR'!$B$6,3,"")))</f>
        <v/>
      </c>
      <c r="G766" s="23"/>
      <c r="H766" t="str">
        <f>IF(G766='Tablas AR'!$B$10,1,IF('Análisis de Riesgos'!G766='Tablas AR'!$B$11,2,IF('Análisis de Riesgos'!G766='Tablas AR'!$B$12,3,"")))</f>
        <v/>
      </c>
      <c r="I766" t="str">
        <f t="shared" si="11"/>
        <v/>
      </c>
    </row>
    <row r="767" spans="2:9" x14ac:dyDescent="0.25">
      <c r="B767" s="24" t="str">
        <f>IFERROR(INDEX(Activos!$B$3:$C$11, MATCH(C767,Activos!$B$3:$B$11),2),"")</f>
        <v/>
      </c>
      <c r="C767" s="24"/>
      <c r="D767" s="24"/>
      <c r="E767" s="23"/>
      <c r="F767" t="str">
        <f>IF(E767='Tablas AR'!$B$4,1,IF('Análisis de Riesgos'!E767='Tablas AR'!$B$5,2,IF('Análisis de Riesgos'!E767='Tablas AR'!$B$6,3,"")))</f>
        <v/>
      </c>
      <c r="G767" s="23"/>
      <c r="H767" t="str">
        <f>IF(G767='Tablas AR'!$B$10,1,IF('Análisis de Riesgos'!G767='Tablas AR'!$B$11,2,IF('Análisis de Riesgos'!G767='Tablas AR'!$B$12,3,"")))</f>
        <v/>
      </c>
      <c r="I767" t="str">
        <f t="shared" si="11"/>
        <v/>
      </c>
    </row>
    <row r="768" spans="2:9" x14ac:dyDescent="0.25">
      <c r="B768" s="24" t="str">
        <f>IFERROR(INDEX(Activos!$B$3:$C$11, MATCH(C768,Activos!$B$3:$B$11),2),"")</f>
        <v/>
      </c>
      <c r="C768" s="24"/>
      <c r="D768" s="24"/>
      <c r="E768" s="23"/>
      <c r="F768" t="str">
        <f>IF(E768='Tablas AR'!$B$4,1,IF('Análisis de Riesgos'!E768='Tablas AR'!$B$5,2,IF('Análisis de Riesgos'!E768='Tablas AR'!$B$6,3,"")))</f>
        <v/>
      </c>
      <c r="G768" s="23"/>
      <c r="H768" t="str">
        <f>IF(G768='Tablas AR'!$B$10,1,IF('Análisis de Riesgos'!G768='Tablas AR'!$B$11,2,IF('Análisis de Riesgos'!G768='Tablas AR'!$B$12,3,"")))</f>
        <v/>
      </c>
      <c r="I768" t="str">
        <f t="shared" si="11"/>
        <v/>
      </c>
    </row>
    <row r="769" spans="2:9" x14ac:dyDescent="0.25">
      <c r="B769" s="24" t="str">
        <f>IFERROR(INDEX(Activos!$B$3:$C$11, MATCH(C769,Activos!$B$3:$B$11),2),"")</f>
        <v/>
      </c>
      <c r="C769" s="24"/>
      <c r="D769" s="24"/>
      <c r="E769" s="23"/>
      <c r="F769" t="str">
        <f>IF(E769='Tablas AR'!$B$4,1,IF('Análisis de Riesgos'!E769='Tablas AR'!$B$5,2,IF('Análisis de Riesgos'!E769='Tablas AR'!$B$6,3,"")))</f>
        <v/>
      </c>
      <c r="G769" s="23"/>
      <c r="H769" t="str">
        <f>IF(G769='Tablas AR'!$B$10,1,IF('Análisis de Riesgos'!G769='Tablas AR'!$B$11,2,IF('Análisis de Riesgos'!G769='Tablas AR'!$B$12,3,"")))</f>
        <v/>
      </c>
      <c r="I769" t="str">
        <f t="shared" si="11"/>
        <v/>
      </c>
    </row>
    <row r="770" spans="2:9" x14ac:dyDescent="0.25">
      <c r="B770" s="24" t="str">
        <f>IFERROR(INDEX(Activos!$B$3:$C$11, MATCH(C770,Activos!$B$3:$B$11),2),"")</f>
        <v/>
      </c>
      <c r="C770" s="24"/>
      <c r="D770" s="24"/>
      <c r="E770" s="23"/>
      <c r="F770" t="str">
        <f>IF(E770='Tablas AR'!$B$4,1,IF('Análisis de Riesgos'!E770='Tablas AR'!$B$5,2,IF('Análisis de Riesgos'!E770='Tablas AR'!$B$6,3,"")))</f>
        <v/>
      </c>
      <c r="G770" s="23"/>
      <c r="H770" t="str">
        <f>IF(G770='Tablas AR'!$B$10,1,IF('Análisis de Riesgos'!G770='Tablas AR'!$B$11,2,IF('Análisis de Riesgos'!G770='Tablas AR'!$B$12,3,"")))</f>
        <v/>
      </c>
      <c r="I770" t="str">
        <f t="shared" si="11"/>
        <v/>
      </c>
    </row>
    <row r="771" spans="2:9" x14ac:dyDescent="0.25">
      <c r="B771" s="24" t="str">
        <f>IFERROR(INDEX(Activos!$B$3:$C$11, MATCH(C771,Activos!$B$3:$B$11),2),"")</f>
        <v/>
      </c>
      <c r="C771" s="24"/>
      <c r="D771" s="24"/>
      <c r="E771" s="23"/>
      <c r="F771" t="str">
        <f>IF(E771='Tablas AR'!$B$4,1,IF('Análisis de Riesgos'!E771='Tablas AR'!$B$5,2,IF('Análisis de Riesgos'!E771='Tablas AR'!$B$6,3,"")))</f>
        <v/>
      </c>
      <c r="G771" s="23"/>
      <c r="H771" t="str">
        <f>IF(G771='Tablas AR'!$B$10,1,IF('Análisis de Riesgos'!G771='Tablas AR'!$B$11,2,IF('Análisis de Riesgos'!G771='Tablas AR'!$B$12,3,"")))</f>
        <v/>
      </c>
      <c r="I771" t="str">
        <f t="shared" si="11"/>
        <v/>
      </c>
    </row>
    <row r="772" spans="2:9" x14ac:dyDescent="0.25">
      <c r="B772" s="24" t="str">
        <f>IFERROR(INDEX(Activos!$B$3:$C$11, MATCH(C772,Activos!$B$3:$B$11),2),"")</f>
        <v/>
      </c>
      <c r="C772" s="24"/>
      <c r="D772" s="24"/>
      <c r="E772" s="23"/>
      <c r="F772" t="str">
        <f>IF(E772='Tablas AR'!$B$4,1,IF('Análisis de Riesgos'!E772='Tablas AR'!$B$5,2,IF('Análisis de Riesgos'!E772='Tablas AR'!$B$6,3,"")))</f>
        <v/>
      </c>
      <c r="G772" s="23"/>
      <c r="H772" t="str">
        <f>IF(G772='Tablas AR'!$B$10,1,IF('Análisis de Riesgos'!G772='Tablas AR'!$B$11,2,IF('Análisis de Riesgos'!G772='Tablas AR'!$B$12,3,"")))</f>
        <v/>
      </c>
      <c r="I772" t="str">
        <f t="shared" ref="I772:I835" si="12" xml:space="preserve"> IFERROR(F772*H772,"")</f>
        <v/>
      </c>
    </row>
    <row r="773" spans="2:9" x14ac:dyDescent="0.25">
      <c r="B773" s="24" t="str">
        <f>IFERROR(INDEX(Activos!$B$3:$C$11, MATCH(C773,Activos!$B$3:$B$11),2),"")</f>
        <v/>
      </c>
      <c r="C773" s="24"/>
      <c r="D773" s="24"/>
      <c r="E773" s="23"/>
      <c r="F773" t="str">
        <f>IF(E773='Tablas AR'!$B$4,1,IF('Análisis de Riesgos'!E773='Tablas AR'!$B$5,2,IF('Análisis de Riesgos'!E773='Tablas AR'!$B$6,3,"")))</f>
        <v/>
      </c>
      <c r="G773" s="23"/>
      <c r="H773" t="str">
        <f>IF(G773='Tablas AR'!$B$10,1,IF('Análisis de Riesgos'!G773='Tablas AR'!$B$11,2,IF('Análisis de Riesgos'!G773='Tablas AR'!$B$12,3,"")))</f>
        <v/>
      </c>
      <c r="I773" t="str">
        <f t="shared" si="12"/>
        <v/>
      </c>
    </row>
    <row r="774" spans="2:9" x14ac:dyDescent="0.25">
      <c r="B774" s="24" t="str">
        <f>IFERROR(INDEX(Activos!$B$3:$C$11, MATCH(C774,Activos!$B$3:$B$11),2),"")</f>
        <v/>
      </c>
      <c r="C774" s="24"/>
      <c r="D774" s="24"/>
      <c r="E774" s="23"/>
      <c r="F774" t="str">
        <f>IF(E774='Tablas AR'!$B$4,1,IF('Análisis de Riesgos'!E774='Tablas AR'!$B$5,2,IF('Análisis de Riesgos'!E774='Tablas AR'!$B$6,3,"")))</f>
        <v/>
      </c>
      <c r="G774" s="23"/>
      <c r="H774" t="str">
        <f>IF(G774='Tablas AR'!$B$10,1,IF('Análisis de Riesgos'!G774='Tablas AR'!$B$11,2,IF('Análisis de Riesgos'!G774='Tablas AR'!$B$12,3,"")))</f>
        <v/>
      </c>
      <c r="I774" t="str">
        <f t="shared" si="12"/>
        <v/>
      </c>
    </row>
    <row r="775" spans="2:9" x14ac:dyDescent="0.25">
      <c r="B775" s="24" t="str">
        <f>IFERROR(INDEX(Activos!$B$3:$C$11, MATCH(C775,Activos!$B$3:$B$11),2),"")</f>
        <v/>
      </c>
      <c r="C775" s="24"/>
      <c r="D775" s="24"/>
      <c r="E775" s="23"/>
      <c r="F775" t="str">
        <f>IF(E775='Tablas AR'!$B$4,1,IF('Análisis de Riesgos'!E775='Tablas AR'!$B$5,2,IF('Análisis de Riesgos'!E775='Tablas AR'!$B$6,3,"")))</f>
        <v/>
      </c>
      <c r="G775" s="23"/>
      <c r="H775" t="str">
        <f>IF(G775='Tablas AR'!$B$10,1,IF('Análisis de Riesgos'!G775='Tablas AR'!$B$11,2,IF('Análisis de Riesgos'!G775='Tablas AR'!$B$12,3,"")))</f>
        <v/>
      </c>
      <c r="I775" t="str">
        <f t="shared" si="12"/>
        <v/>
      </c>
    </row>
    <row r="776" spans="2:9" x14ac:dyDescent="0.25">
      <c r="B776" s="24" t="str">
        <f>IFERROR(INDEX(Activos!$B$3:$C$11, MATCH(C776,Activos!$B$3:$B$11),2),"")</f>
        <v/>
      </c>
      <c r="C776" s="24"/>
      <c r="D776" s="24"/>
      <c r="E776" s="23"/>
      <c r="F776" t="str">
        <f>IF(E776='Tablas AR'!$B$4,1,IF('Análisis de Riesgos'!E776='Tablas AR'!$B$5,2,IF('Análisis de Riesgos'!E776='Tablas AR'!$B$6,3,"")))</f>
        <v/>
      </c>
      <c r="G776" s="23"/>
      <c r="H776" t="str">
        <f>IF(G776='Tablas AR'!$B$10,1,IF('Análisis de Riesgos'!G776='Tablas AR'!$B$11,2,IF('Análisis de Riesgos'!G776='Tablas AR'!$B$12,3,"")))</f>
        <v/>
      </c>
      <c r="I776" t="str">
        <f t="shared" si="12"/>
        <v/>
      </c>
    </row>
    <row r="777" spans="2:9" x14ac:dyDescent="0.25">
      <c r="B777" s="24" t="str">
        <f>IFERROR(INDEX(Activos!$B$3:$C$11, MATCH(C777,Activos!$B$3:$B$11),2),"")</f>
        <v/>
      </c>
      <c r="C777" s="24"/>
      <c r="D777" s="24"/>
      <c r="E777" s="23"/>
      <c r="F777" t="str">
        <f>IF(E777='Tablas AR'!$B$4,1,IF('Análisis de Riesgos'!E777='Tablas AR'!$B$5,2,IF('Análisis de Riesgos'!E777='Tablas AR'!$B$6,3,"")))</f>
        <v/>
      </c>
      <c r="G777" s="23"/>
      <c r="H777" t="str">
        <f>IF(G777='Tablas AR'!$B$10,1,IF('Análisis de Riesgos'!G777='Tablas AR'!$B$11,2,IF('Análisis de Riesgos'!G777='Tablas AR'!$B$12,3,"")))</f>
        <v/>
      </c>
      <c r="I777" t="str">
        <f t="shared" si="12"/>
        <v/>
      </c>
    </row>
    <row r="778" spans="2:9" x14ac:dyDescent="0.25">
      <c r="B778" s="24" t="str">
        <f>IFERROR(INDEX(Activos!$B$3:$C$11, MATCH(C778,Activos!$B$3:$B$11),2),"")</f>
        <v/>
      </c>
      <c r="C778" s="24"/>
      <c r="D778" s="24"/>
      <c r="E778" s="23"/>
      <c r="F778" t="str">
        <f>IF(E778='Tablas AR'!$B$4,1,IF('Análisis de Riesgos'!E778='Tablas AR'!$B$5,2,IF('Análisis de Riesgos'!E778='Tablas AR'!$B$6,3,"")))</f>
        <v/>
      </c>
      <c r="G778" s="23"/>
      <c r="H778" t="str">
        <f>IF(G778='Tablas AR'!$B$10,1,IF('Análisis de Riesgos'!G778='Tablas AR'!$B$11,2,IF('Análisis de Riesgos'!G778='Tablas AR'!$B$12,3,"")))</f>
        <v/>
      </c>
      <c r="I778" t="str">
        <f t="shared" si="12"/>
        <v/>
      </c>
    </row>
    <row r="779" spans="2:9" x14ac:dyDescent="0.25">
      <c r="B779" s="24" t="str">
        <f>IFERROR(INDEX(Activos!$B$3:$C$11, MATCH(C779,Activos!$B$3:$B$11),2),"")</f>
        <v/>
      </c>
      <c r="C779" s="24"/>
      <c r="D779" s="24"/>
      <c r="E779" s="23"/>
      <c r="F779" t="str">
        <f>IF(E779='Tablas AR'!$B$4,1,IF('Análisis de Riesgos'!E779='Tablas AR'!$B$5,2,IF('Análisis de Riesgos'!E779='Tablas AR'!$B$6,3,"")))</f>
        <v/>
      </c>
      <c r="G779" s="23"/>
      <c r="H779" t="str">
        <f>IF(G779='Tablas AR'!$B$10,1,IF('Análisis de Riesgos'!G779='Tablas AR'!$B$11,2,IF('Análisis de Riesgos'!G779='Tablas AR'!$B$12,3,"")))</f>
        <v/>
      </c>
      <c r="I779" t="str">
        <f t="shared" si="12"/>
        <v/>
      </c>
    </row>
    <row r="780" spans="2:9" x14ac:dyDescent="0.25">
      <c r="B780" s="24" t="str">
        <f>IFERROR(INDEX(Activos!$B$3:$C$11, MATCH(C780,Activos!$B$3:$B$11),2),"")</f>
        <v/>
      </c>
      <c r="C780" s="24"/>
      <c r="D780" s="24"/>
      <c r="E780" s="23"/>
      <c r="F780" t="str">
        <f>IF(E780='Tablas AR'!$B$4,1,IF('Análisis de Riesgos'!E780='Tablas AR'!$B$5,2,IF('Análisis de Riesgos'!E780='Tablas AR'!$B$6,3,"")))</f>
        <v/>
      </c>
      <c r="G780" s="23"/>
      <c r="H780" t="str">
        <f>IF(G780='Tablas AR'!$B$10,1,IF('Análisis de Riesgos'!G780='Tablas AR'!$B$11,2,IF('Análisis de Riesgos'!G780='Tablas AR'!$B$12,3,"")))</f>
        <v/>
      </c>
      <c r="I780" t="str">
        <f t="shared" si="12"/>
        <v/>
      </c>
    </row>
    <row r="781" spans="2:9" x14ac:dyDescent="0.25">
      <c r="B781" s="24" t="str">
        <f>IFERROR(INDEX(Activos!$B$3:$C$11, MATCH(C781,Activos!$B$3:$B$11),2),"")</f>
        <v/>
      </c>
      <c r="C781" s="24"/>
      <c r="D781" s="24"/>
      <c r="E781" s="23"/>
      <c r="F781" t="str">
        <f>IF(E781='Tablas AR'!$B$4,1,IF('Análisis de Riesgos'!E781='Tablas AR'!$B$5,2,IF('Análisis de Riesgos'!E781='Tablas AR'!$B$6,3,"")))</f>
        <v/>
      </c>
      <c r="G781" s="23"/>
      <c r="H781" t="str">
        <f>IF(G781='Tablas AR'!$B$10,1,IF('Análisis de Riesgos'!G781='Tablas AR'!$B$11,2,IF('Análisis de Riesgos'!G781='Tablas AR'!$B$12,3,"")))</f>
        <v/>
      </c>
      <c r="I781" t="str">
        <f t="shared" si="12"/>
        <v/>
      </c>
    </row>
    <row r="782" spans="2:9" x14ac:dyDescent="0.25">
      <c r="B782" s="24" t="str">
        <f>IFERROR(INDEX(Activos!$B$3:$C$11, MATCH(C782,Activos!$B$3:$B$11),2),"")</f>
        <v/>
      </c>
      <c r="C782" s="24"/>
      <c r="D782" s="24"/>
      <c r="E782" s="23"/>
      <c r="F782" t="str">
        <f>IF(E782='Tablas AR'!$B$4,1,IF('Análisis de Riesgos'!E782='Tablas AR'!$B$5,2,IF('Análisis de Riesgos'!E782='Tablas AR'!$B$6,3,"")))</f>
        <v/>
      </c>
      <c r="G782" s="23"/>
      <c r="H782" t="str">
        <f>IF(G782='Tablas AR'!$B$10,1,IF('Análisis de Riesgos'!G782='Tablas AR'!$B$11,2,IF('Análisis de Riesgos'!G782='Tablas AR'!$B$12,3,"")))</f>
        <v/>
      </c>
      <c r="I782" t="str">
        <f t="shared" si="12"/>
        <v/>
      </c>
    </row>
    <row r="783" spans="2:9" x14ac:dyDescent="0.25">
      <c r="B783" s="24" t="str">
        <f>IFERROR(INDEX(Activos!$B$3:$C$11, MATCH(C783,Activos!$B$3:$B$11),2),"")</f>
        <v/>
      </c>
      <c r="C783" s="24"/>
      <c r="D783" s="24"/>
      <c r="E783" s="23"/>
      <c r="F783" t="str">
        <f>IF(E783='Tablas AR'!$B$4,1,IF('Análisis de Riesgos'!E783='Tablas AR'!$B$5,2,IF('Análisis de Riesgos'!E783='Tablas AR'!$B$6,3,"")))</f>
        <v/>
      </c>
      <c r="G783" s="23"/>
      <c r="H783" t="str">
        <f>IF(G783='Tablas AR'!$B$10,1,IF('Análisis de Riesgos'!G783='Tablas AR'!$B$11,2,IF('Análisis de Riesgos'!G783='Tablas AR'!$B$12,3,"")))</f>
        <v/>
      </c>
      <c r="I783" t="str">
        <f t="shared" si="12"/>
        <v/>
      </c>
    </row>
    <row r="784" spans="2:9" x14ac:dyDescent="0.25">
      <c r="B784" s="24" t="str">
        <f>IFERROR(INDEX(Activos!$B$3:$C$11, MATCH(C784,Activos!$B$3:$B$11),2),"")</f>
        <v/>
      </c>
      <c r="C784" s="24"/>
      <c r="D784" s="24"/>
      <c r="E784" s="23"/>
      <c r="F784" t="str">
        <f>IF(E784='Tablas AR'!$B$4,1,IF('Análisis de Riesgos'!E784='Tablas AR'!$B$5,2,IF('Análisis de Riesgos'!E784='Tablas AR'!$B$6,3,"")))</f>
        <v/>
      </c>
      <c r="G784" s="23"/>
      <c r="H784" t="str">
        <f>IF(G784='Tablas AR'!$B$10,1,IF('Análisis de Riesgos'!G784='Tablas AR'!$B$11,2,IF('Análisis de Riesgos'!G784='Tablas AR'!$B$12,3,"")))</f>
        <v/>
      </c>
      <c r="I784" t="str">
        <f t="shared" si="12"/>
        <v/>
      </c>
    </row>
    <row r="785" spans="2:9" x14ac:dyDescent="0.25">
      <c r="B785" s="24" t="str">
        <f>IFERROR(INDEX(Activos!$B$3:$C$11, MATCH(C785,Activos!$B$3:$B$11),2),"")</f>
        <v/>
      </c>
      <c r="C785" s="24"/>
      <c r="D785" s="24"/>
      <c r="E785" s="23"/>
      <c r="F785" t="str">
        <f>IF(E785='Tablas AR'!$B$4,1,IF('Análisis de Riesgos'!E785='Tablas AR'!$B$5,2,IF('Análisis de Riesgos'!E785='Tablas AR'!$B$6,3,"")))</f>
        <v/>
      </c>
      <c r="G785" s="23"/>
      <c r="H785" t="str">
        <f>IF(G785='Tablas AR'!$B$10,1,IF('Análisis de Riesgos'!G785='Tablas AR'!$B$11,2,IF('Análisis de Riesgos'!G785='Tablas AR'!$B$12,3,"")))</f>
        <v/>
      </c>
      <c r="I785" t="str">
        <f t="shared" si="12"/>
        <v/>
      </c>
    </row>
    <row r="786" spans="2:9" x14ac:dyDescent="0.25">
      <c r="B786" s="24" t="str">
        <f>IFERROR(INDEX(Activos!$B$3:$C$11, MATCH(C786,Activos!$B$3:$B$11),2),"")</f>
        <v/>
      </c>
      <c r="C786" s="24"/>
      <c r="D786" s="24"/>
      <c r="E786" s="23"/>
      <c r="F786" t="str">
        <f>IF(E786='Tablas AR'!$B$4,1,IF('Análisis de Riesgos'!E786='Tablas AR'!$B$5,2,IF('Análisis de Riesgos'!E786='Tablas AR'!$B$6,3,"")))</f>
        <v/>
      </c>
      <c r="G786" s="23"/>
      <c r="H786" t="str">
        <f>IF(G786='Tablas AR'!$B$10,1,IF('Análisis de Riesgos'!G786='Tablas AR'!$B$11,2,IF('Análisis de Riesgos'!G786='Tablas AR'!$B$12,3,"")))</f>
        <v/>
      </c>
      <c r="I786" t="str">
        <f t="shared" si="12"/>
        <v/>
      </c>
    </row>
    <row r="787" spans="2:9" x14ac:dyDescent="0.25">
      <c r="B787" s="24" t="str">
        <f>IFERROR(INDEX(Activos!$B$3:$C$11, MATCH(C787,Activos!$B$3:$B$11),2),"")</f>
        <v/>
      </c>
      <c r="C787" s="24"/>
      <c r="D787" s="24"/>
      <c r="E787" s="23"/>
      <c r="F787" t="str">
        <f>IF(E787='Tablas AR'!$B$4,1,IF('Análisis de Riesgos'!E787='Tablas AR'!$B$5,2,IF('Análisis de Riesgos'!E787='Tablas AR'!$B$6,3,"")))</f>
        <v/>
      </c>
      <c r="G787" s="23"/>
      <c r="H787" t="str">
        <f>IF(G787='Tablas AR'!$B$10,1,IF('Análisis de Riesgos'!G787='Tablas AR'!$B$11,2,IF('Análisis de Riesgos'!G787='Tablas AR'!$B$12,3,"")))</f>
        <v/>
      </c>
      <c r="I787" t="str">
        <f t="shared" si="12"/>
        <v/>
      </c>
    </row>
    <row r="788" spans="2:9" x14ac:dyDescent="0.25">
      <c r="B788" s="24" t="str">
        <f>IFERROR(INDEX(Activos!$B$3:$C$11, MATCH(C788,Activos!$B$3:$B$11),2),"")</f>
        <v/>
      </c>
      <c r="C788" s="24"/>
      <c r="D788" s="24"/>
      <c r="E788" s="23"/>
      <c r="F788" t="str">
        <f>IF(E788='Tablas AR'!$B$4,1,IF('Análisis de Riesgos'!E788='Tablas AR'!$B$5,2,IF('Análisis de Riesgos'!E788='Tablas AR'!$B$6,3,"")))</f>
        <v/>
      </c>
      <c r="G788" s="23"/>
      <c r="H788" t="str">
        <f>IF(G788='Tablas AR'!$B$10,1,IF('Análisis de Riesgos'!G788='Tablas AR'!$B$11,2,IF('Análisis de Riesgos'!G788='Tablas AR'!$B$12,3,"")))</f>
        <v/>
      </c>
      <c r="I788" t="str">
        <f t="shared" si="12"/>
        <v/>
      </c>
    </row>
    <row r="789" spans="2:9" x14ac:dyDescent="0.25">
      <c r="B789" s="24" t="str">
        <f>IFERROR(INDEX(Activos!$B$3:$C$11, MATCH(C789,Activos!$B$3:$B$11),2),"")</f>
        <v/>
      </c>
      <c r="C789" s="24"/>
      <c r="D789" s="24"/>
      <c r="E789" s="23"/>
      <c r="F789" t="str">
        <f>IF(E789='Tablas AR'!$B$4,1,IF('Análisis de Riesgos'!E789='Tablas AR'!$B$5,2,IF('Análisis de Riesgos'!E789='Tablas AR'!$B$6,3,"")))</f>
        <v/>
      </c>
      <c r="G789" s="23"/>
      <c r="H789" t="str">
        <f>IF(G789='Tablas AR'!$B$10,1,IF('Análisis de Riesgos'!G789='Tablas AR'!$B$11,2,IF('Análisis de Riesgos'!G789='Tablas AR'!$B$12,3,"")))</f>
        <v/>
      </c>
      <c r="I789" t="str">
        <f t="shared" si="12"/>
        <v/>
      </c>
    </row>
    <row r="790" spans="2:9" x14ac:dyDescent="0.25">
      <c r="B790" s="24" t="str">
        <f>IFERROR(INDEX(Activos!$B$3:$C$11, MATCH(C790,Activos!$B$3:$B$11),2),"")</f>
        <v/>
      </c>
      <c r="C790" s="24"/>
      <c r="D790" s="24"/>
      <c r="E790" s="23"/>
      <c r="F790" t="str">
        <f>IF(E790='Tablas AR'!$B$4,1,IF('Análisis de Riesgos'!E790='Tablas AR'!$B$5,2,IF('Análisis de Riesgos'!E790='Tablas AR'!$B$6,3,"")))</f>
        <v/>
      </c>
      <c r="G790" s="23"/>
      <c r="H790" t="str">
        <f>IF(G790='Tablas AR'!$B$10,1,IF('Análisis de Riesgos'!G790='Tablas AR'!$B$11,2,IF('Análisis de Riesgos'!G790='Tablas AR'!$B$12,3,"")))</f>
        <v/>
      </c>
      <c r="I790" t="str">
        <f t="shared" si="12"/>
        <v/>
      </c>
    </row>
    <row r="791" spans="2:9" x14ac:dyDescent="0.25">
      <c r="B791" s="24" t="str">
        <f>IFERROR(INDEX(Activos!$B$3:$C$11, MATCH(C791,Activos!$B$3:$B$11),2),"")</f>
        <v/>
      </c>
      <c r="C791" s="24"/>
      <c r="D791" s="24"/>
      <c r="E791" s="23"/>
      <c r="F791" t="str">
        <f>IF(E791='Tablas AR'!$B$4,1,IF('Análisis de Riesgos'!E791='Tablas AR'!$B$5,2,IF('Análisis de Riesgos'!E791='Tablas AR'!$B$6,3,"")))</f>
        <v/>
      </c>
      <c r="G791" s="23"/>
      <c r="H791" t="str">
        <f>IF(G791='Tablas AR'!$B$10,1,IF('Análisis de Riesgos'!G791='Tablas AR'!$B$11,2,IF('Análisis de Riesgos'!G791='Tablas AR'!$B$12,3,"")))</f>
        <v/>
      </c>
      <c r="I791" t="str">
        <f t="shared" si="12"/>
        <v/>
      </c>
    </row>
    <row r="792" spans="2:9" x14ac:dyDescent="0.25">
      <c r="B792" s="24" t="str">
        <f>IFERROR(INDEX(Activos!$B$3:$C$11, MATCH(C792,Activos!$B$3:$B$11),2),"")</f>
        <v/>
      </c>
      <c r="C792" s="24"/>
      <c r="D792" s="24"/>
      <c r="E792" s="23"/>
      <c r="F792" t="str">
        <f>IF(E792='Tablas AR'!$B$4,1,IF('Análisis de Riesgos'!E792='Tablas AR'!$B$5,2,IF('Análisis de Riesgos'!E792='Tablas AR'!$B$6,3,"")))</f>
        <v/>
      </c>
      <c r="G792" s="23"/>
      <c r="H792" t="str">
        <f>IF(G792='Tablas AR'!$B$10,1,IF('Análisis de Riesgos'!G792='Tablas AR'!$B$11,2,IF('Análisis de Riesgos'!G792='Tablas AR'!$B$12,3,"")))</f>
        <v/>
      </c>
      <c r="I792" t="str">
        <f t="shared" si="12"/>
        <v/>
      </c>
    </row>
    <row r="793" spans="2:9" x14ac:dyDescent="0.25">
      <c r="B793" s="24" t="str">
        <f>IFERROR(INDEX(Activos!$B$3:$C$11, MATCH(C793,Activos!$B$3:$B$11),2),"")</f>
        <v/>
      </c>
      <c r="C793" s="24"/>
      <c r="D793" s="24"/>
      <c r="E793" s="23"/>
      <c r="F793" t="str">
        <f>IF(E793='Tablas AR'!$B$4,1,IF('Análisis de Riesgos'!E793='Tablas AR'!$B$5,2,IF('Análisis de Riesgos'!E793='Tablas AR'!$B$6,3,"")))</f>
        <v/>
      </c>
      <c r="G793" s="23"/>
      <c r="H793" t="str">
        <f>IF(G793='Tablas AR'!$B$10,1,IF('Análisis de Riesgos'!G793='Tablas AR'!$B$11,2,IF('Análisis de Riesgos'!G793='Tablas AR'!$B$12,3,"")))</f>
        <v/>
      </c>
      <c r="I793" t="str">
        <f t="shared" si="12"/>
        <v/>
      </c>
    </row>
    <row r="794" spans="2:9" x14ac:dyDescent="0.25">
      <c r="B794" s="24" t="str">
        <f>IFERROR(INDEX(Activos!$B$3:$C$11, MATCH(C794,Activos!$B$3:$B$11),2),"")</f>
        <v/>
      </c>
      <c r="C794" s="24"/>
      <c r="D794" s="24"/>
      <c r="E794" s="23"/>
      <c r="F794" t="str">
        <f>IF(E794='Tablas AR'!$B$4,1,IF('Análisis de Riesgos'!E794='Tablas AR'!$B$5,2,IF('Análisis de Riesgos'!E794='Tablas AR'!$B$6,3,"")))</f>
        <v/>
      </c>
      <c r="G794" s="23"/>
      <c r="H794" t="str">
        <f>IF(G794='Tablas AR'!$B$10,1,IF('Análisis de Riesgos'!G794='Tablas AR'!$B$11,2,IF('Análisis de Riesgos'!G794='Tablas AR'!$B$12,3,"")))</f>
        <v/>
      </c>
      <c r="I794" t="str">
        <f t="shared" si="12"/>
        <v/>
      </c>
    </row>
    <row r="795" spans="2:9" x14ac:dyDescent="0.25">
      <c r="B795" s="24" t="str">
        <f>IFERROR(INDEX(Activos!$B$3:$C$11, MATCH(C795,Activos!$B$3:$B$11),2),"")</f>
        <v/>
      </c>
      <c r="C795" s="24"/>
      <c r="D795" s="24"/>
      <c r="E795" s="23"/>
      <c r="F795" t="str">
        <f>IF(E795='Tablas AR'!$B$4,1,IF('Análisis de Riesgos'!E795='Tablas AR'!$B$5,2,IF('Análisis de Riesgos'!E795='Tablas AR'!$B$6,3,"")))</f>
        <v/>
      </c>
      <c r="G795" s="23"/>
      <c r="H795" t="str">
        <f>IF(G795='Tablas AR'!$B$10,1,IF('Análisis de Riesgos'!G795='Tablas AR'!$B$11,2,IF('Análisis de Riesgos'!G795='Tablas AR'!$B$12,3,"")))</f>
        <v/>
      </c>
      <c r="I795" t="str">
        <f t="shared" si="12"/>
        <v/>
      </c>
    </row>
    <row r="796" spans="2:9" x14ac:dyDescent="0.25">
      <c r="B796" s="24" t="str">
        <f>IFERROR(INDEX(Activos!$B$3:$C$11, MATCH(C796,Activos!$B$3:$B$11),2),"")</f>
        <v/>
      </c>
      <c r="C796" s="24"/>
      <c r="D796" s="24"/>
      <c r="E796" s="23"/>
      <c r="F796" t="str">
        <f>IF(E796='Tablas AR'!$B$4,1,IF('Análisis de Riesgos'!E796='Tablas AR'!$B$5,2,IF('Análisis de Riesgos'!E796='Tablas AR'!$B$6,3,"")))</f>
        <v/>
      </c>
      <c r="G796" s="23"/>
      <c r="H796" t="str">
        <f>IF(G796='Tablas AR'!$B$10,1,IF('Análisis de Riesgos'!G796='Tablas AR'!$B$11,2,IF('Análisis de Riesgos'!G796='Tablas AR'!$B$12,3,"")))</f>
        <v/>
      </c>
      <c r="I796" t="str">
        <f t="shared" si="12"/>
        <v/>
      </c>
    </row>
    <row r="797" spans="2:9" x14ac:dyDescent="0.25">
      <c r="B797" s="24" t="str">
        <f>IFERROR(INDEX(Activos!$B$3:$C$11, MATCH(C797,Activos!$B$3:$B$11),2),"")</f>
        <v/>
      </c>
      <c r="C797" s="24"/>
      <c r="D797" s="24"/>
      <c r="E797" s="23"/>
      <c r="F797" t="str">
        <f>IF(E797='Tablas AR'!$B$4,1,IF('Análisis de Riesgos'!E797='Tablas AR'!$B$5,2,IF('Análisis de Riesgos'!E797='Tablas AR'!$B$6,3,"")))</f>
        <v/>
      </c>
      <c r="G797" s="23"/>
      <c r="H797" t="str">
        <f>IF(G797='Tablas AR'!$B$10,1,IF('Análisis de Riesgos'!G797='Tablas AR'!$B$11,2,IF('Análisis de Riesgos'!G797='Tablas AR'!$B$12,3,"")))</f>
        <v/>
      </c>
      <c r="I797" t="str">
        <f t="shared" si="12"/>
        <v/>
      </c>
    </row>
    <row r="798" spans="2:9" x14ac:dyDescent="0.25">
      <c r="B798" s="24" t="str">
        <f>IFERROR(INDEX(Activos!$B$3:$C$11, MATCH(C798,Activos!$B$3:$B$11),2),"")</f>
        <v/>
      </c>
      <c r="C798" s="24"/>
      <c r="D798" s="24"/>
      <c r="E798" s="23"/>
      <c r="F798" t="str">
        <f>IF(E798='Tablas AR'!$B$4,1,IF('Análisis de Riesgos'!E798='Tablas AR'!$B$5,2,IF('Análisis de Riesgos'!E798='Tablas AR'!$B$6,3,"")))</f>
        <v/>
      </c>
      <c r="G798" s="23"/>
      <c r="H798" t="str">
        <f>IF(G798='Tablas AR'!$B$10,1,IF('Análisis de Riesgos'!G798='Tablas AR'!$B$11,2,IF('Análisis de Riesgos'!G798='Tablas AR'!$B$12,3,"")))</f>
        <v/>
      </c>
      <c r="I798" t="str">
        <f t="shared" si="12"/>
        <v/>
      </c>
    </row>
    <row r="799" spans="2:9" x14ac:dyDescent="0.25">
      <c r="B799" s="24" t="str">
        <f>IFERROR(INDEX(Activos!$B$3:$C$11, MATCH(C799,Activos!$B$3:$B$11),2),"")</f>
        <v/>
      </c>
      <c r="C799" s="24"/>
      <c r="D799" s="24"/>
      <c r="E799" s="23"/>
      <c r="F799" t="str">
        <f>IF(E799='Tablas AR'!$B$4,1,IF('Análisis de Riesgos'!E799='Tablas AR'!$B$5,2,IF('Análisis de Riesgos'!E799='Tablas AR'!$B$6,3,"")))</f>
        <v/>
      </c>
      <c r="G799" s="23"/>
      <c r="H799" t="str">
        <f>IF(G799='Tablas AR'!$B$10,1,IF('Análisis de Riesgos'!G799='Tablas AR'!$B$11,2,IF('Análisis de Riesgos'!G799='Tablas AR'!$B$12,3,"")))</f>
        <v/>
      </c>
      <c r="I799" t="str">
        <f t="shared" si="12"/>
        <v/>
      </c>
    </row>
    <row r="800" spans="2:9" x14ac:dyDescent="0.25">
      <c r="B800" s="24" t="str">
        <f>IFERROR(INDEX(Activos!$B$3:$C$11, MATCH(C800,Activos!$B$3:$B$11),2),"")</f>
        <v/>
      </c>
      <c r="C800" s="24"/>
      <c r="D800" s="24"/>
      <c r="E800" s="23"/>
      <c r="F800" t="str">
        <f>IF(E800='Tablas AR'!$B$4,1,IF('Análisis de Riesgos'!E800='Tablas AR'!$B$5,2,IF('Análisis de Riesgos'!E800='Tablas AR'!$B$6,3,"")))</f>
        <v/>
      </c>
      <c r="G800" s="23"/>
      <c r="H800" t="str">
        <f>IF(G800='Tablas AR'!$B$10,1,IF('Análisis de Riesgos'!G800='Tablas AR'!$B$11,2,IF('Análisis de Riesgos'!G800='Tablas AR'!$B$12,3,"")))</f>
        <v/>
      </c>
      <c r="I800" t="str">
        <f t="shared" si="12"/>
        <v/>
      </c>
    </row>
    <row r="801" spans="2:9" x14ac:dyDescent="0.25">
      <c r="B801" s="24" t="str">
        <f>IFERROR(INDEX(Activos!$B$3:$C$11, MATCH(C801,Activos!$B$3:$B$11),2),"")</f>
        <v/>
      </c>
      <c r="C801" s="24"/>
      <c r="D801" s="24"/>
      <c r="E801" s="23"/>
      <c r="F801" t="str">
        <f>IF(E801='Tablas AR'!$B$4,1,IF('Análisis de Riesgos'!E801='Tablas AR'!$B$5,2,IF('Análisis de Riesgos'!E801='Tablas AR'!$B$6,3,"")))</f>
        <v/>
      </c>
      <c r="G801" s="23"/>
      <c r="H801" t="str">
        <f>IF(G801='Tablas AR'!$B$10,1,IF('Análisis de Riesgos'!G801='Tablas AR'!$B$11,2,IF('Análisis de Riesgos'!G801='Tablas AR'!$B$12,3,"")))</f>
        <v/>
      </c>
      <c r="I801" t="str">
        <f t="shared" si="12"/>
        <v/>
      </c>
    </row>
    <row r="802" spans="2:9" x14ac:dyDescent="0.25">
      <c r="B802" s="24" t="str">
        <f>IFERROR(INDEX(Activos!$B$3:$C$11, MATCH(C802,Activos!$B$3:$B$11),2),"")</f>
        <v/>
      </c>
      <c r="C802" s="24"/>
      <c r="D802" s="24"/>
      <c r="E802" s="23"/>
      <c r="F802" t="str">
        <f>IF(E802='Tablas AR'!$B$4,1,IF('Análisis de Riesgos'!E802='Tablas AR'!$B$5,2,IF('Análisis de Riesgos'!E802='Tablas AR'!$B$6,3,"")))</f>
        <v/>
      </c>
      <c r="G802" s="23"/>
      <c r="H802" t="str">
        <f>IF(G802='Tablas AR'!$B$10,1,IF('Análisis de Riesgos'!G802='Tablas AR'!$B$11,2,IF('Análisis de Riesgos'!G802='Tablas AR'!$B$12,3,"")))</f>
        <v/>
      </c>
      <c r="I802" t="str">
        <f t="shared" si="12"/>
        <v/>
      </c>
    </row>
    <row r="803" spans="2:9" x14ac:dyDescent="0.25">
      <c r="B803" s="24" t="str">
        <f>IFERROR(INDEX(Activos!$B$3:$C$11, MATCH(C803,Activos!$B$3:$B$11),2),"")</f>
        <v/>
      </c>
      <c r="C803" s="24"/>
      <c r="D803" s="24"/>
      <c r="E803" s="23"/>
      <c r="F803" t="str">
        <f>IF(E803='Tablas AR'!$B$4,1,IF('Análisis de Riesgos'!E803='Tablas AR'!$B$5,2,IF('Análisis de Riesgos'!E803='Tablas AR'!$B$6,3,"")))</f>
        <v/>
      </c>
      <c r="G803" s="23"/>
      <c r="H803" t="str">
        <f>IF(G803='Tablas AR'!$B$10,1,IF('Análisis de Riesgos'!G803='Tablas AR'!$B$11,2,IF('Análisis de Riesgos'!G803='Tablas AR'!$B$12,3,"")))</f>
        <v/>
      </c>
      <c r="I803" t="str">
        <f t="shared" si="12"/>
        <v/>
      </c>
    </row>
    <row r="804" spans="2:9" x14ac:dyDescent="0.25">
      <c r="B804" s="24" t="str">
        <f>IFERROR(INDEX(Activos!$B$3:$C$11, MATCH(C804,Activos!$B$3:$B$11),2),"")</f>
        <v/>
      </c>
      <c r="C804" s="24"/>
      <c r="D804" s="24"/>
      <c r="E804" s="23"/>
      <c r="F804" t="str">
        <f>IF(E804='Tablas AR'!$B$4,1,IF('Análisis de Riesgos'!E804='Tablas AR'!$B$5,2,IF('Análisis de Riesgos'!E804='Tablas AR'!$B$6,3,"")))</f>
        <v/>
      </c>
      <c r="G804" s="23"/>
      <c r="H804" t="str">
        <f>IF(G804='Tablas AR'!$B$10,1,IF('Análisis de Riesgos'!G804='Tablas AR'!$B$11,2,IF('Análisis de Riesgos'!G804='Tablas AR'!$B$12,3,"")))</f>
        <v/>
      </c>
      <c r="I804" t="str">
        <f t="shared" si="12"/>
        <v/>
      </c>
    </row>
    <row r="805" spans="2:9" x14ac:dyDescent="0.25">
      <c r="B805" s="24" t="str">
        <f>IFERROR(INDEX(Activos!$B$3:$C$11, MATCH(C805,Activos!$B$3:$B$11),2),"")</f>
        <v/>
      </c>
      <c r="C805" s="24"/>
      <c r="D805" s="24"/>
      <c r="E805" s="23"/>
      <c r="F805" t="str">
        <f>IF(E805='Tablas AR'!$B$4,1,IF('Análisis de Riesgos'!E805='Tablas AR'!$B$5,2,IF('Análisis de Riesgos'!E805='Tablas AR'!$B$6,3,"")))</f>
        <v/>
      </c>
      <c r="G805" s="23"/>
      <c r="H805" t="str">
        <f>IF(G805='Tablas AR'!$B$10,1,IF('Análisis de Riesgos'!G805='Tablas AR'!$B$11,2,IF('Análisis de Riesgos'!G805='Tablas AR'!$B$12,3,"")))</f>
        <v/>
      </c>
      <c r="I805" t="str">
        <f t="shared" si="12"/>
        <v/>
      </c>
    </row>
    <row r="806" spans="2:9" x14ac:dyDescent="0.25">
      <c r="B806" s="24" t="str">
        <f>IFERROR(INDEX(Activos!$B$3:$C$11, MATCH(C806,Activos!$B$3:$B$11),2),"")</f>
        <v/>
      </c>
      <c r="C806" s="24"/>
      <c r="D806" s="24"/>
      <c r="E806" s="23"/>
      <c r="F806" t="str">
        <f>IF(E806='Tablas AR'!$B$4,1,IF('Análisis de Riesgos'!E806='Tablas AR'!$B$5,2,IF('Análisis de Riesgos'!E806='Tablas AR'!$B$6,3,"")))</f>
        <v/>
      </c>
      <c r="G806" s="23"/>
      <c r="H806" t="str">
        <f>IF(G806='Tablas AR'!$B$10,1,IF('Análisis de Riesgos'!G806='Tablas AR'!$B$11,2,IF('Análisis de Riesgos'!G806='Tablas AR'!$B$12,3,"")))</f>
        <v/>
      </c>
      <c r="I806" t="str">
        <f t="shared" si="12"/>
        <v/>
      </c>
    </row>
    <row r="807" spans="2:9" x14ac:dyDescent="0.25">
      <c r="B807" s="24" t="str">
        <f>IFERROR(INDEX(Activos!$B$3:$C$11, MATCH(C807,Activos!$B$3:$B$11),2),"")</f>
        <v/>
      </c>
      <c r="C807" s="24"/>
      <c r="D807" s="24"/>
      <c r="E807" s="23"/>
      <c r="F807" t="str">
        <f>IF(E807='Tablas AR'!$B$4,1,IF('Análisis de Riesgos'!E807='Tablas AR'!$B$5,2,IF('Análisis de Riesgos'!E807='Tablas AR'!$B$6,3,"")))</f>
        <v/>
      </c>
      <c r="G807" s="23"/>
      <c r="H807" t="str">
        <f>IF(G807='Tablas AR'!$B$10,1,IF('Análisis de Riesgos'!G807='Tablas AR'!$B$11,2,IF('Análisis de Riesgos'!G807='Tablas AR'!$B$12,3,"")))</f>
        <v/>
      </c>
      <c r="I807" t="str">
        <f t="shared" si="12"/>
        <v/>
      </c>
    </row>
    <row r="808" spans="2:9" x14ac:dyDescent="0.25">
      <c r="B808" s="24" t="str">
        <f>IFERROR(INDEX(Activos!$B$3:$C$11, MATCH(C808,Activos!$B$3:$B$11),2),"")</f>
        <v/>
      </c>
      <c r="C808" s="24"/>
      <c r="D808" s="24"/>
      <c r="E808" s="23"/>
      <c r="F808" t="str">
        <f>IF(E808='Tablas AR'!$B$4,1,IF('Análisis de Riesgos'!E808='Tablas AR'!$B$5,2,IF('Análisis de Riesgos'!E808='Tablas AR'!$B$6,3,"")))</f>
        <v/>
      </c>
      <c r="G808" s="23"/>
      <c r="H808" t="str">
        <f>IF(G808='Tablas AR'!$B$10,1,IF('Análisis de Riesgos'!G808='Tablas AR'!$B$11,2,IF('Análisis de Riesgos'!G808='Tablas AR'!$B$12,3,"")))</f>
        <v/>
      </c>
      <c r="I808" t="str">
        <f t="shared" si="12"/>
        <v/>
      </c>
    </row>
    <row r="809" spans="2:9" x14ac:dyDescent="0.25">
      <c r="B809" s="24" t="str">
        <f>IFERROR(INDEX(Activos!$B$3:$C$11, MATCH(C809,Activos!$B$3:$B$11),2),"")</f>
        <v/>
      </c>
      <c r="C809" s="24"/>
      <c r="D809" s="24"/>
      <c r="E809" s="23"/>
      <c r="F809" t="str">
        <f>IF(E809='Tablas AR'!$B$4,1,IF('Análisis de Riesgos'!E809='Tablas AR'!$B$5,2,IF('Análisis de Riesgos'!E809='Tablas AR'!$B$6,3,"")))</f>
        <v/>
      </c>
      <c r="G809" s="23"/>
      <c r="H809" t="str">
        <f>IF(G809='Tablas AR'!$B$10,1,IF('Análisis de Riesgos'!G809='Tablas AR'!$B$11,2,IF('Análisis de Riesgos'!G809='Tablas AR'!$B$12,3,"")))</f>
        <v/>
      </c>
      <c r="I809" t="str">
        <f t="shared" si="12"/>
        <v/>
      </c>
    </row>
    <row r="810" spans="2:9" x14ac:dyDescent="0.25">
      <c r="B810" s="24" t="str">
        <f>IFERROR(INDEX(Activos!$B$3:$C$11, MATCH(C810,Activos!$B$3:$B$11),2),"")</f>
        <v/>
      </c>
      <c r="C810" s="24"/>
      <c r="D810" s="24"/>
      <c r="E810" s="23"/>
      <c r="F810" t="str">
        <f>IF(E810='Tablas AR'!$B$4,1,IF('Análisis de Riesgos'!E810='Tablas AR'!$B$5,2,IF('Análisis de Riesgos'!E810='Tablas AR'!$B$6,3,"")))</f>
        <v/>
      </c>
      <c r="G810" s="23"/>
      <c r="H810" t="str">
        <f>IF(G810='Tablas AR'!$B$10,1,IF('Análisis de Riesgos'!G810='Tablas AR'!$B$11,2,IF('Análisis de Riesgos'!G810='Tablas AR'!$B$12,3,"")))</f>
        <v/>
      </c>
      <c r="I810" t="str">
        <f t="shared" si="12"/>
        <v/>
      </c>
    </row>
    <row r="811" spans="2:9" x14ac:dyDescent="0.25">
      <c r="B811" s="24" t="str">
        <f>IFERROR(INDEX(Activos!$B$3:$C$11, MATCH(C811,Activos!$B$3:$B$11),2),"")</f>
        <v/>
      </c>
      <c r="C811" s="24"/>
      <c r="D811" s="24"/>
      <c r="E811" s="23"/>
      <c r="F811" t="str">
        <f>IF(E811='Tablas AR'!$B$4,1,IF('Análisis de Riesgos'!E811='Tablas AR'!$B$5,2,IF('Análisis de Riesgos'!E811='Tablas AR'!$B$6,3,"")))</f>
        <v/>
      </c>
      <c r="G811" s="23"/>
      <c r="H811" t="str">
        <f>IF(G811='Tablas AR'!$B$10,1,IF('Análisis de Riesgos'!G811='Tablas AR'!$B$11,2,IF('Análisis de Riesgos'!G811='Tablas AR'!$B$12,3,"")))</f>
        <v/>
      </c>
      <c r="I811" t="str">
        <f t="shared" si="12"/>
        <v/>
      </c>
    </row>
    <row r="812" spans="2:9" x14ac:dyDescent="0.25">
      <c r="B812" s="24" t="str">
        <f>IFERROR(INDEX(Activos!$B$3:$C$11, MATCH(C812,Activos!$B$3:$B$11),2),"")</f>
        <v/>
      </c>
      <c r="C812" s="24"/>
      <c r="D812" s="24"/>
      <c r="E812" s="23"/>
      <c r="F812" t="str">
        <f>IF(E812='Tablas AR'!$B$4,1,IF('Análisis de Riesgos'!E812='Tablas AR'!$B$5,2,IF('Análisis de Riesgos'!E812='Tablas AR'!$B$6,3,"")))</f>
        <v/>
      </c>
      <c r="G812" s="23"/>
      <c r="H812" t="str">
        <f>IF(G812='Tablas AR'!$B$10,1,IF('Análisis de Riesgos'!G812='Tablas AR'!$B$11,2,IF('Análisis de Riesgos'!G812='Tablas AR'!$B$12,3,"")))</f>
        <v/>
      </c>
      <c r="I812" t="str">
        <f t="shared" si="12"/>
        <v/>
      </c>
    </row>
    <row r="813" spans="2:9" x14ac:dyDescent="0.25">
      <c r="B813" s="24" t="str">
        <f>IFERROR(INDEX(Activos!$B$3:$C$11, MATCH(C813,Activos!$B$3:$B$11),2),"")</f>
        <v/>
      </c>
      <c r="C813" s="24"/>
      <c r="D813" s="24"/>
      <c r="E813" s="23"/>
      <c r="F813" t="str">
        <f>IF(E813='Tablas AR'!$B$4,1,IF('Análisis de Riesgos'!E813='Tablas AR'!$B$5,2,IF('Análisis de Riesgos'!E813='Tablas AR'!$B$6,3,"")))</f>
        <v/>
      </c>
      <c r="G813" s="23"/>
      <c r="H813" t="str">
        <f>IF(G813='Tablas AR'!$B$10,1,IF('Análisis de Riesgos'!G813='Tablas AR'!$B$11,2,IF('Análisis de Riesgos'!G813='Tablas AR'!$B$12,3,"")))</f>
        <v/>
      </c>
      <c r="I813" t="str">
        <f t="shared" si="12"/>
        <v/>
      </c>
    </row>
    <row r="814" spans="2:9" x14ac:dyDescent="0.25">
      <c r="B814" s="24" t="str">
        <f>IFERROR(INDEX(Activos!$B$3:$C$11, MATCH(C814,Activos!$B$3:$B$11),2),"")</f>
        <v/>
      </c>
      <c r="C814" s="24"/>
      <c r="D814" s="24"/>
      <c r="E814" s="23"/>
      <c r="F814" t="str">
        <f>IF(E814='Tablas AR'!$B$4,1,IF('Análisis de Riesgos'!E814='Tablas AR'!$B$5,2,IF('Análisis de Riesgos'!E814='Tablas AR'!$B$6,3,"")))</f>
        <v/>
      </c>
      <c r="G814" s="23"/>
      <c r="H814" t="str">
        <f>IF(G814='Tablas AR'!$B$10,1,IF('Análisis de Riesgos'!G814='Tablas AR'!$B$11,2,IF('Análisis de Riesgos'!G814='Tablas AR'!$B$12,3,"")))</f>
        <v/>
      </c>
      <c r="I814" t="str">
        <f t="shared" si="12"/>
        <v/>
      </c>
    </row>
    <row r="815" spans="2:9" x14ac:dyDescent="0.25">
      <c r="B815" s="24" t="str">
        <f>IFERROR(INDEX(Activos!$B$3:$C$11, MATCH(C815,Activos!$B$3:$B$11),2),"")</f>
        <v/>
      </c>
      <c r="C815" s="24"/>
      <c r="D815" s="24"/>
      <c r="E815" s="23"/>
      <c r="F815" t="str">
        <f>IF(E815='Tablas AR'!$B$4,1,IF('Análisis de Riesgos'!E815='Tablas AR'!$B$5,2,IF('Análisis de Riesgos'!E815='Tablas AR'!$B$6,3,"")))</f>
        <v/>
      </c>
      <c r="G815" s="23"/>
      <c r="H815" t="str">
        <f>IF(G815='Tablas AR'!$B$10,1,IF('Análisis de Riesgos'!G815='Tablas AR'!$B$11,2,IF('Análisis de Riesgos'!G815='Tablas AR'!$B$12,3,"")))</f>
        <v/>
      </c>
      <c r="I815" t="str">
        <f t="shared" si="12"/>
        <v/>
      </c>
    </row>
    <row r="816" spans="2:9" x14ac:dyDescent="0.25">
      <c r="B816" s="24" t="str">
        <f>IFERROR(INDEX(Activos!$B$3:$C$11, MATCH(C816,Activos!$B$3:$B$11),2),"")</f>
        <v/>
      </c>
      <c r="C816" s="24"/>
      <c r="D816" s="24"/>
      <c r="E816" s="23"/>
      <c r="F816" t="str">
        <f>IF(E816='Tablas AR'!$B$4,1,IF('Análisis de Riesgos'!E816='Tablas AR'!$B$5,2,IF('Análisis de Riesgos'!E816='Tablas AR'!$B$6,3,"")))</f>
        <v/>
      </c>
      <c r="G816" s="23"/>
      <c r="H816" t="str">
        <f>IF(G816='Tablas AR'!$B$10,1,IF('Análisis de Riesgos'!G816='Tablas AR'!$B$11,2,IF('Análisis de Riesgos'!G816='Tablas AR'!$B$12,3,"")))</f>
        <v/>
      </c>
      <c r="I816" t="str">
        <f t="shared" si="12"/>
        <v/>
      </c>
    </row>
    <row r="817" spans="2:9" x14ac:dyDescent="0.25">
      <c r="B817" s="24" t="str">
        <f>IFERROR(INDEX(Activos!$B$3:$C$11, MATCH(C817,Activos!$B$3:$B$11),2),"")</f>
        <v/>
      </c>
      <c r="C817" s="24"/>
      <c r="D817" s="24"/>
      <c r="E817" s="23"/>
      <c r="F817" t="str">
        <f>IF(E817='Tablas AR'!$B$4,1,IF('Análisis de Riesgos'!E817='Tablas AR'!$B$5,2,IF('Análisis de Riesgos'!E817='Tablas AR'!$B$6,3,"")))</f>
        <v/>
      </c>
      <c r="G817" s="23"/>
      <c r="H817" t="str">
        <f>IF(G817='Tablas AR'!$B$10,1,IF('Análisis de Riesgos'!G817='Tablas AR'!$B$11,2,IF('Análisis de Riesgos'!G817='Tablas AR'!$B$12,3,"")))</f>
        <v/>
      </c>
      <c r="I817" t="str">
        <f t="shared" si="12"/>
        <v/>
      </c>
    </row>
    <row r="818" spans="2:9" x14ac:dyDescent="0.25">
      <c r="B818" s="24" t="str">
        <f>IFERROR(INDEX(Activos!$B$3:$C$11, MATCH(C818,Activos!$B$3:$B$11),2),"")</f>
        <v/>
      </c>
      <c r="C818" s="24"/>
      <c r="D818" s="24"/>
      <c r="E818" s="23"/>
      <c r="F818" t="str">
        <f>IF(E818='Tablas AR'!$B$4,1,IF('Análisis de Riesgos'!E818='Tablas AR'!$B$5,2,IF('Análisis de Riesgos'!E818='Tablas AR'!$B$6,3,"")))</f>
        <v/>
      </c>
      <c r="G818" s="23"/>
      <c r="H818" t="str">
        <f>IF(G818='Tablas AR'!$B$10,1,IF('Análisis de Riesgos'!G818='Tablas AR'!$B$11,2,IF('Análisis de Riesgos'!G818='Tablas AR'!$B$12,3,"")))</f>
        <v/>
      </c>
      <c r="I818" t="str">
        <f t="shared" si="12"/>
        <v/>
      </c>
    </row>
    <row r="819" spans="2:9" x14ac:dyDescent="0.25">
      <c r="B819" s="24" t="str">
        <f>IFERROR(INDEX(Activos!$B$3:$C$11, MATCH(C819,Activos!$B$3:$B$11),2),"")</f>
        <v/>
      </c>
      <c r="C819" s="24"/>
      <c r="D819" s="24"/>
      <c r="E819" s="23"/>
      <c r="F819" t="str">
        <f>IF(E819='Tablas AR'!$B$4,1,IF('Análisis de Riesgos'!E819='Tablas AR'!$B$5,2,IF('Análisis de Riesgos'!E819='Tablas AR'!$B$6,3,"")))</f>
        <v/>
      </c>
      <c r="G819" s="23"/>
      <c r="H819" t="str">
        <f>IF(G819='Tablas AR'!$B$10,1,IF('Análisis de Riesgos'!G819='Tablas AR'!$B$11,2,IF('Análisis de Riesgos'!G819='Tablas AR'!$B$12,3,"")))</f>
        <v/>
      </c>
      <c r="I819" t="str">
        <f t="shared" si="12"/>
        <v/>
      </c>
    </row>
    <row r="820" spans="2:9" x14ac:dyDescent="0.25">
      <c r="B820" s="24" t="str">
        <f>IFERROR(INDEX(Activos!$B$3:$C$11, MATCH(C820,Activos!$B$3:$B$11),2),"")</f>
        <v/>
      </c>
      <c r="C820" s="24"/>
      <c r="D820" s="24"/>
      <c r="E820" s="23"/>
      <c r="F820" t="str">
        <f>IF(E820='Tablas AR'!$B$4,1,IF('Análisis de Riesgos'!E820='Tablas AR'!$B$5,2,IF('Análisis de Riesgos'!E820='Tablas AR'!$B$6,3,"")))</f>
        <v/>
      </c>
      <c r="G820" s="23"/>
      <c r="H820" t="str">
        <f>IF(G820='Tablas AR'!$B$10,1,IF('Análisis de Riesgos'!G820='Tablas AR'!$B$11,2,IF('Análisis de Riesgos'!G820='Tablas AR'!$B$12,3,"")))</f>
        <v/>
      </c>
      <c r="I820" t="str">
        <f t="shared" si="12"/>
        <v/>
      </c>
    </row>
    <row r="821" spans="2:9" x14ac:dyDescent="0.25">
      <c r="B821" s="24" t="str">
        <f>IFERROR(INDEX(Activos!$B$3:$C$11, MATCH(C821,Activos!$B$3:$B$11),2),"")</f>
        <v/>
      </c>
      <c r="C821" s="24"/>
      <c r="D821" s="24"/>
      <c r="E821" s="23"/>
      <c r="F821" t="str">
        <f>IF(E821='Tablas AR'!$B$4,1,IF('Análisis de Riesgos'!E821='Tablas AR'!$B$5,2,IF('Análisis de Riesgos'!E821='Tablas AR'!$B$6,3,"")))</f>
        <v/>
      </c>
      <c r="G821" s="23"/>
      <c r="H821" t="str">
        <f>IF(G821='Tablas AR'!$B$10,1,IF('Análisis de Riesgos'!G821='Tablas AR'!$B$11,2,IF('Análisis de Riesgos'!G821='Tablas AR'!$B$12,3,"")))</f>
        <v/>
      </c>
      <c r="I821" t="str">
        <f t="shared" si="12"/>
        <v/>
      </c>
    </row>
    <row r="822" spans="2:9" x14ac:dyDescent="0.25">
      <c r="B822" s="24" t="str">
        <f>IFERROR(INDEX(Activos!$B$3:$C$11, MATCH(C822,Activos!$B$3:$B$11),2),"")</f>
        <v/>
      </c>
      <c r="C822" s="24"/>
      <c r="D822" s="24"/>
      <c r="E822" s="23"/>
      <c r="F822" t="str">
        <f>IF(E822='Tablas AR'!$B$4,1,IF('Análisis de Riesgos'!E822='Tablas AR'!$B$5,2,IF('Análisis de Riesgos'!E822='Tablas AR'!$B$6,3,"")))</f>
        <v/>
      </c>
      <c r="G822" s="23"/>
      <c r="H822" t="str">
        <f>IF(G822='Tablas AR'!$B$10,1,IF('Análisis de Riesgos'!G822='Tablas AR'!$B$11,2,IF('Análisis de Riesgos'!G822='Tablas AR'!$B$12,3,"")))</f>
        <v/>
      </c>
      <c r="I822" t="str">
        <f t="shared" si="12"/>
        <v/>
      </c>
    </row>
    <row r="823" spans="2:9" x14ac:dyDescent="0.25">
      <c r="B823" s="24" t="str">
        <f>IFERROR(INDEX(Activos!$B$3:$C$11, MATCH(C823,Activos!$B$3:$B$11),2),"")</f>
        <v/>
      </c>
      <c r="C823" s="24"/>
      <c r="D823" s="24"/>
      <c r="E823" s="23"/>
      <c r="F823" t="str">
        <f>IF(E823='Tablas AR'!$B$4,1,IF('Análisis de Riesgos'!E823='Tablas AR'!$B$5,2,IF('Análisis de Riesgos'!E823='Tablas AR'!$B$6,3,"")))</f>
        <v/>
      </c>
      <c r="G823" s="23"/>
      <c r="H823" t="str">
        <f>IF(G823='Tablas AR'!$B$10,1,IF('Análisis de Riesgos'!G823='Tablas AR'!$B$11,2,IF('Análisis de Riesgos'!G823='Tablas AR'!$B$12,3,"")))</f>
        <v/>
      </c>
      <c r="I823" t="str">
        <f t="shared" si="12"/>
        <v/>
      </c>
    </row>
    <row r="824" spans="2:9" x14ac:dyDescent="0.25">
      <c r="B824" s="24" t="str">
        <f>IFERROR(INDEX(Activos!$B$3:$C$11, MATCH(C824,Activos!$B$3:$B$11),2),"")</f>
        <v/>
      </c>
      <c r="C824" s="24"/>
      <c r="D824" s="24"/>
      <c r="E824" s="23"/>
      <c r="F824" t="str">
        <f>IF(E824='Tablas AR'!$B$4,1,IF('Análisis de Riesgos'!E824='Tablas AR'!$B$5,2,IF('Análisis de Riesgos'!E824='Tablas AR'!$B$6,3,"")))</f>
        <v/>
      </c>
      <c r="G824" s="23"/>
      <c r="H824" t="str">
        <f>IF(G824='Tablas AR'!$B$10,1,IF('Análisis de Riesgos'!G824='Tablas AR'!$B$11,2,IF('Análisis de Riesgos'!G824='Tablas AR'!$B$12,3,"")))</f>
        <v/>
      </c>
      <c r="I824" t="str">
        <f t="shared" si="12"/>
        <v/>
      </c>
    </row>
    <row r="825" spans="2:9" x14ac:dyDescent="0.25">
      <c r="B825" s="24" t="str">
        <f>IFERROR(INDEX(Activos!$B$3:$C$11, MATCH(C825,Activos!$B$3:$B$11),2),"")</f>
        <v/>
      </c>
      <c r="C825" s="24"/>
      <c r="D825" s="24"/>
      <c r="E825" s="23"/>
      <c r="F825" t="str">
        <f>IF(E825='Tablas AR'!$B$4,1,IF('Análisis de Riesgos'!E825='Tablas AR'!$B$5,2,IF('Análisis de Riesgos'!E825='Tablas AR'!$B$6,3,"")))</f>
        <v/>
      </c>
      <c r="G825" s="23"/>
      <c r="H825" t="str">
        <f>IF(G825='Tablas AR'!$B$10,1,IF('Análisis de Riesgos'!G825='Tablas AR'!$B$11,2,IF('Análisis de Riesgos'!G825='Tablas AR'!$B$12,3,"")))</f>
        <v/>
      </c>
      <c r="I825" t="str">
        <f t="shared" si="12"/>
        <v/>
      </c>
    </row>
    <row r="826" spans="2:9" x14ac:dyDescent="0.25">
      <c r="B826" s="24" t="str">
        <f>IFERROR(INDEX(Activos!$B$3:$C$11, MATCH(C826,Activos!$B$3:$B$11),2),"")</f>
        <v/>
      </c>
      <c r="C826" s="24"/>
      <c r="D826" s="24"/>
      <c r="E826" s="23"/>
      <c r="F826" t="str">
        <f>IF(E826='Tablas AR'!$B$4,1,IF('Análisis de Riesgos'!E826='Tablas AR'!$B$5,2,IF('Análisis de Riesgos'!E826='Tablas AR'!$B$6,3,"")))</f>
        <v/>
      </c>
      <c r="G826" s="23"/>
      <c r="H826" t="str">
        <f>IF(G826='Tablas AR'!$B$10,1,IF('Análisis de Riesgos'!G826='Tablas AR'!$B$11,2,IF('Análisis de Riesgos'!G826='Tablas AR'!$B$12,3,"")))</f>
        <v/>
      </c>
      <c r="I826" t="str">
        <f t="shared" si="12"/>
        <v/>
      </c>
    </row>
    <row r="827" spans="2:9" x14ac:dyDescent="0.25">
      <c r="B827" s="24" t="str">
        <f>IFERROR(INDEX(Activos!$B$3:$C$11, MATCH(C827,Activos!$B$3:$B$11),2),"")</f>
        <v/>
      </c>
      <c r="C827" s="24"/>
      <c r="D827" s="24"/>
      <c r="E827" s="23"/>
      <c r="F827" t="str">
        <f>IF(E827='Tablas AR'!$B$4,1,IF('Análisis de Riesgos'!E827='Tablas AR'!$B$5,2,IF('Análisis de Riesgos'!E827='Tablas AR'!$B$6,3,"")))</f>
        <v/>
      </c>
      <c r="G827" s="23"/>
      <c r="H827" t="str">
        <f>IF(G827='Tablas AR'!$B$10,1,IF('Análisis de Riesgos'!G827='Tablas AR'!$B$11,2,IF('Análisis de Riesgos'!G827='Tablas AR'!$B$12,3,"")))</f>
        <v/>
      </c>
      <c r="I827" t="str">
        <f t="shared" si="12"/>
        <v/>
      </c>
    </row>
    <row r="828" spans="2:9" x14ac:dyDescent="0.25">
      <c r="B828" s="24" t="str">
        <f>IFERROR(INDEX(Activos!$B$3:$C$11, MATCH(C828,Activos!$B$3:$B$11),2),"")</f>
        <v/>
      </c>
      <c r="C828" s="24"/>
      <c r="D828" s="24"/>
      <c r="E828" s="23"/>
      <c r="F828" t="str">
        <f>IF(E828='Tablas AR'!$B$4,1,IF('Análisis de Riesgos'!E828='Tablas AR'!$B$5,2,IF('Análisis de Riesgos'!E828='Tablas AR'!$B$6,3,"")))</f>
        <v/>
      </c>
      <c r="G828" s="23"/>
      <c r="H828" t="str">
        <f>IF(G828='Tablas AR'!$B$10,1,IF('Análisis de Riesgos'!G828='Tablas AR'!$B$11,2,IF('Análisis de Riesgos'!G828='Tablas AR'!$B$12,3,"")))</f>
        <v/>
      </c>
      <c r="I828" t="str">
        <f t="shared" si="12"/>
        <v/>
      </c>
    </row>
    <row r="829" spans="2:9" x14ac:dyDescent="0.25">
      <c r="B829" s="24" t="str">
        <f>IFERROR(INDEX(Activos!$B$3:$C$11, MATCH(C829,Activos!$B$3:$B$11),2),"")</f>
        <v/>
      </c>
      <c r="C829" s="24"/>
      <c r="D829" s="24"/>
      <c r="E829" s="23"/>
      <c r="F829" t="str">
        <f>IF(E829='Tablas AR'!$B$4,1,IF('Análisis de Riesgos'!E829='Tablas AR'!$B$5,2,IF('Análisis de Riesgos'!E829='Tablas AR'!$B$6,3,"")))</f>
        <v/>
      </c>
      <c r="G829" s="23"/>
      <c r="H829" t="str">
        <f>IF(G829='Tablas AR'!$B$10,1,IF('Análisis de Riesgos'!G829='Tablas AR'!$B$11,2,IF('Análisis de Riesgos'!G829='Tablas AR'!$B$12,3,"")))</f>
        <v/>
      </c>
      <c r="I829" t="str">
        <f t="shared" si="12"/>
        <v/>
      </c>
    </row>
    <row r="830" spans="2:9" x14ac:dyDescent="0.25">
      <c r="B830" s="24" t="str">
        <f>IFERROR(INDEX(Activos!$B$3:$C$11, MATCH(C830,Activos!$B$3:$B$11),2),"")</f>
        <v/>
      </c>
      <c r="C830" s="24"/>
      <c r="D830" s="24"/>
      <c r="E830" s="23"/>
      <c r="F830" t="str">
        <f>IF(E830='Tablas AR'!$B$4,1,IF('Análisis de Riesgos'!E830='Tablas AR'!$B$5,2,IF('Análisis de Riesgos'!E830='Tablas AR'!$B$6,3,"")))</f>
        <v/>
      </c>
      <c r="G830" s="23"/>
      <c r="H830" t="str">
        <f>IF(G830='Tablas AR'!$B$10,1,IF('Análisis de Riesgos'!G830='Tablas AR'!$B$11,2,IF('Análisis de Riesgos'!G830='Tablas AR'!$B$12,3,"")))</f>
        <v/>
      </c>
      <c r="I830" t="str">
        <f t="shared" si="12"/>
        <v/>
      </c>
    </row>
    <row r="831" spans="2:9" x14ac:dyDescent="0.25">
      <c r="B831" s="24" t="str">
        <f>IFERROR(INDEX(Activos!$B$3:$C$11, MATCH(C831,Activos!$B$3:$B$11),2),"")</f>
        <v/>
      </c>
      <c r="C831" s="24"/>
      <c r="D831" s="24"/>
      <c r="E831" s="23"/>
      <c r="F831" t="str">
        <f>IF(E831='Tablas AR'!$B$4,1,IF('Análisis de Riesgos'!E831='Tablas AR'!$B$5,2,IF('Análisis de Riesgos'!E831='Tablas AR'!$B$6,3,"")))</f>
        <v/>
      </c>
      <c r="G831" s="23"/>
      <c r="H831" t="str">
        <f>IF(G831='Tablas AR'!$B$10,1,IF('Análisis de Riesgos'!G831='Tablas AR'!$B$11,2,IF('Análisis de Riesgos'!G831='Tablas AR'!$B$12,3,"")))</f>
        <v/>
      </c>
      <c r="I831" t="str">
        <f t="shared" si="12"/>
        <v/>
      </c>
    </row>
    <row r="832" spans="2:9" x14ac:dyDescent="0.25">
      <c r="B832" s="24" t="str">
        <f>IFERROR(INDEX(Activos!$B$3:$C$11, MATCH(C832,Activos!$B$3:$B$11),2),"")</f>
        <v/>
      </c>
      <c r="C832" s="24"/>
      <c r="D832" s="24"/>
      <c r="E832" s="23"/>
      <c r="F832" t="str">
        <f>IF(E832='Tablas AR'!$B$4,1,IF('Análisis de Riesgos'!E832='Tablas AR'!$B$5,2,IF('Análisis de Riesgos'!E832='Tablas AR'!$B$6,3,"")))</f>
        <v/>
      </c>
      <c r="G832" s="23"/>
      <c r="H832" t="str">
        <f>IF(G832='Tablas AR'!$B$10,1,IF('Análisis de Riesgos'!G832='Tablas AR'!$B$11,2,IF('Análisis de Riesgos'!G832='Tablas AR'!$B$12,3,"")))</f>
        <v/>
      </c>
      <c r="I832" t="str">
        <f t="shared" si="12"/>
        <v/>
      </c>
    </row>
    <row r="833" spans="2:9" x14ac:dyDescent="0.25">
      <c r="B833" s="24" t="str">
        <f>IFERROR(INDEX(Activos!$B$3:$C$11, MATCH(C833,Activos!$B$3:$B$11),2),"")</f>
        <v/>
      </c>
      <c r="C833" s="24"/>
      <c r="D833" s="24"/>
      <c r="E833" s="23"/>
      <c r="F833" t="str">
        <f>IF(E833='Tablas AR'!$B$4,1,IF('Análisis de Riesgos'!E833='Tablas AR'!$B$5,2,IF('Análisis de Riesgos'!E833='Tablas AR'!$B$6,3,"")))</f>
        <v/>
      </c>
      <c r="G833" s="23"/>
      <c r="H833" t="str">
        <f>IF(G833='Tablas AR'!$B$10,1,IF('Análisis de Riesgos'!G833='Tablas AR'!$B$11,2,IF('Análisis de Riesgos'!G833='Tablas AR'!$B$12,3,"")))</f>
        <v/>
      </c>
      <c r="I833" t="str">
        <f t="shared" si="12"/>
        <v/>
      </c>
    </row>
    <row r="834" spans="2:9" x14ac:dyDescent="0.25">
      <c r="B834" s="24" t="str">
        <f>IFERROR(INDEX(Activos!$B$3:$C$11, MATCH(C834,Activos!$B$3:$B$11),2),"")</f>
        <v/>
      </c>
      <c r="C834" s="24"/>
      <c r="D834" s="24"/>
      <c r="E834" s="23"/>
      <c r="F834" t="str">
        <f>IF(E834='Tablas AR'!$B$4,1,IF('Análisis de Riesgos'!E834='Tablas AR'!$B$5,2,IF('Análisis de Riesgos'!E834='Tablas AR'!$B$6,3,"")))</f>
        <v/>
      </c>
      <c r="G834" s="23"/>
      <c r="H834" t="str">
        <f>IF(G834='Tablas AR'!$B$10,1,IF('Análisis de Riesgos'!G834='Tablas AR'!$B$11,2,IF('Análisis de Riesgos'!G834='Tablas AR'!$B$12,3,"")))</f>
        <v/>
      </c>
      <c r="I834" t="str">
        <f t="shared" si="12"/>
        <v/>
      </c>
    </row>
    <row r="835" spans="2:9" x14ac:dyDescent="0.25">
      <c r="B835" s="24" t="str">
        <f>IFERROR(INDEX(Activos!$B$3:$C$11, MATCH(C835,Activos!$B$3:$B$11),2),"")</f>
        <v/>
      </c>
      <c r="C835" s="24"/>
      <c r="D835" s="24"/>
      <c r="E835" s="23"/>
      <c r="F835" t="str">
        <f>IF(E835='Tablas AR'!$B$4,1,IF('Análisis de Riesgos'!E835='Tablas AR'!$B$5,2,IF('Análisis de Riesgos'!E835='Tablas AR'!$B$6,3,"")))</f>
        <v/>
      </c>
      <c r="G835" s="23"/>
      <c r="H835" t="str">
        <f>IF(G835='Tablas AR'!$B$10,1,IF('Análisis de Riesgos'!G835='Tablas AR'!$B$11,2,IF('Análisis de Riesgos'!G835='Tablas AR'!$B$12,3,"")))</f>
        <v/>
      </c>
      <c r="I835" t="str">
        <f t="shared" si="12"/>
        <v/>
      </c>
    </row>
    <row r="836" spans="2:9" x14ac:dyDescent="0.25">
      <c r="B836" s="24" t="str">
        <f>IFERROR(INDEX(Activos!$B$3:$C$11, MATCH(C836,Activos!$B$3:$B$11),2),"")</f>
        <v/>
      </c>
      <c r="C836" s="24"/>
      <c r="D836" s="24"/>
      <c r="E836" s="23"/>
      <c r="F836" t="str">
        <f>IF(E836='Tablas AR'!$B$4,1,IF('Análisis de Riesgos'!E836='Tablas AR'!$B$5,2,IF('Análisis de Riesgos'!E836='Tablas AR'!$B$6,3,"")))</f>
        <v/>
      </c>
      <c r="G836" s="23"/>
      <c r="H836" t="str">
        <f>IF(G836='Tablas AR'!$B$10,1,IF('Análisis de Riesgos'!G836='Tablas AR'!$B$11,2,IF('Análisis de Riesgos'!G836='Tablas AR'!$B$12,3,"")))</f>
        <v/>
      </c>
      <c r="I836" t="str">
        <f t="shared" ref="I836:I899" si="13" xml:space="preserve"> IFERROR(F836*H836,"")</f>
        <v/>
      </c>
    </row>
    <row r="837" spans="2:9" x14ac:dyDescent="0.25">
      <c r="B837" s="24" t="str">
        <f>IFERROR(INDEX(Activos!$B$3:$C$11, MATCH(C837,Activos!$B$3:$B$11),2),"")</f>
        <v/>
      </c>
      <c r="C837" s="24"/>
      <c r="D837" s="24"/>
      <c r="E837" s="23"/>
      <c r="F837" t="str">
        <f>IF(E837='Tablas AR'!$B$4,1,IF('Análisis de Riesgos'!E837='Tablas AR'!$B$5,2,IF('Análisis de Riesgos'!E837='Tablas AR'!$B$6,3,"")))</f>
        <v/>
      </c>
      <c r="G837" s="23"/>
      <c r="H837" t="str">
        <f>IF(G837='Tablas AR'!$B$10,1,IF('Análisis de Riesgos'!G837='Tablas AR'!$B$11,2,IF('Análisis de Riesgos'!G837='Tablas AR'!$B$12,3,"")))</f>
        <v/>
      </c>
      <c r="I837" t="str">
        <f t="shared" si="13"/>
        <v/>
      </c>
    </row>
    <row r="838" spans="2:9" x14ac:dyDescent="0.25">
      <c r="B838" s="24" t="str">
        <f>IFERROR(INDEX(Activos!$B$3:$C$11, MATCH(C838,Activos!$B$3:$B$11),2),"")</f>
        <v/>
      </c>
      <c r="C838" s="24"/>
      <c r="D838" s="24"/>
      <c r="E838" s="23"/>
      <c r="F838" t="str">
        <f>IF(E838='Tablas AR'!$B$4,1,IF('Análisis de Riesgos'!E838='Tablas AR'!$B$5,2,IF('Análisis de Riesgos'!E838='Tablas AR'!$B$6,3,"")))</f>
        <v/>
      </c>
      <c r="G838" s="23"/>
      <c r="H838" t="str">
        <f>IF(G838='Tablas AR'!$B$10,1,IF('Análisis de Riesgos'!G838='Tablas AR'!$B$11,2,IF('Análisis de Riesgos'!G838='Tablas AR'!$B$12,3,"")))</f>
        <v/>
      </c>
      <c r="I838" t="str">
        <f t="shared" si="13"/>
        <v/>
      </c>
    </row>
    <row r="839" spans="2:9" x14ac:dyDescent="0.25">
      <c r="B839" s="24" t="str">
        <f>IFERROR(INDEX(Activos!$B$3:$C$11, MATCH(C839,Activos!$B$3:$B$11),2),"")</f>
        <v/>
      </c>
      <c r="C839" s="24"/>
      <c r="D839" s="24"/>
      <c r="E839" s="23"/>
      <c r="F839" t="str">
        <f>IF(E839='Tablas AR'!$B$4,1,IF('Análisis de Riesgos'!E839='Tablas AR'!$B$5,2,IF('Análisis de Riesgos'!E839='Tablas AR'!$B$6,3,"")))</f>
        <v/>
      </c>
      <c r="G839" s="23"/>
      <c r="H839" t="str">
        <f>IF(G839='Tablas AR'!$B$10,1,IF('Análisis de Riesgos'!G839='Tablas AR'!$B$11,2,IF('Análisis de Riesgos'!G839='Tablas AR'!$B$12,3,"")))</f>
        <v/>
      </c>
      <c r="I839" t="str">
        <f t="shared" si="13"/>
        <v/>
      </c>
    </row>
    <row r="840" spans="2:9" x14ac:dyDescent="0.25">
      <c r="B840" s="24" t="str">
        <f>IFERROR(INDEX(Activos!$B$3:$C$11, MATCH(C840,Activos!$B$3:$B$11),2),"")</f>
        <v/>
      </c>
      <c r="C840" s="24"/>
      <c r="D840" s="24"/>
      <c r="E840" s="23"/>
      <c r="F840" t="str">
        <f>IF(E840='Tablas AR'!$B$4,1,IF('Análisis de Riesgos'!E840='Tablas AR'!$B$5,2,IF('Análisis de Riesgos'!E840='Tablas AR'!$B$6,3,"")))</f>
        <v/>
      </c>
      <c r="G840" s="23"/>
      <c r="H840" t="str">
        <f>IF(G840='Tablas AR'!$B$10,1,IF('Análisis de Riesgos'!G840='Tablas AR'!$B$11,2,IF('Análisis de Riesgos'!G840='Tablas AR'!$B$12,3,"")))</f>
        <v/>
      </c>
      <c r="I840" t="str">
        <f t="shared" si="13"/>
        <v/>
      </c>
    </row>
    <row r="841" spans="2:9" x14ac:dyDescent="0.25">
      <c r="B841" s="24" t="str">
        <f>IFERROR(INDEX(Activos!$B$3:$C$11, MATCH(C841,Activos!$B$3:$B$11),2),"")</f>
        <v/>
      </c>
      <c r="C841" s="24"/>
      <c r="D841" s="24"/>
      <c r="E841" s="23"/>
      <c r="F841" t="str">
        <f>IF(E841='Tablas AR'!$B$4,1,IF('Análisis de Riesgos'!E841='Tablas AR'!$B$5,2,IF('Análisis de Riesgos'!E841='Tablas AR'!$B$6,3,"")))</f>
        <v/>
      </c>
      <c r="G841" s="23"/>
      <c r="H841" t="str">
        <f>IF(G841='Tablas AR'!$B$10,1,IF('Análisis de Riesgos'!G841='Tablas AR'!$B$11,2,IF('Análisis de Riesgos'!G841='Tablas AR'!$B$12,3,"")))</f>
        <v/>
      </c>
      <c r="I841" t="str">
        <f t="shared" si="13"/>
        <v/>
      </c>
    </row>
    <row r="842" spans="2:9" x14ac:dyDescent="0.25">
      <c r="B842" s="24" t="str">
        <f>IFERROR(INDEX(Activos!$B$3:$C$11, MATCH(C842,Activos!$B$3:$B$11),2),"")</f>
        <v/>
      </c>
      <c r="C842" s="24"/>
      <c r="D842" s="24"/>
      <c r="E842" s="23"/>
      <c r="F842" t="str">
        <f>IF(E842='Tablas AR'!$B$4,1,IF('Análisis de Riesgos'!E842='Tablas AR'!$B$5,2,IF('Análisis de Riesgos'!E842='Tablas AR'!$B$6,3,"")))</f>
        <v/>
      </c>
      <c r="G842" s="23"/>
      <c r="H842" t="str">
        <f>IF(G842='Tablas AR'!$B$10,1,IF('Análisis de Riesgos'!G842='Tablas AR'!$B$11,2,IF('Análisis de Riesgos'!G842='Tablas AR'!$B$12,3,"")))</f>
        <v/>
      </c>
      <c r="I842" t="str">
        <f t="shared" si="13"/>
        <v/>
      </c>
    </row>
    <row r="843" spans="2:9" x14ac:dyDescent="0.25">
      <c r="B843" s="24" t="str">
        <f>IFERROR(INDEX(Activos!$B$3:$C$11, MATCH(C843,Activos!$B$3:$B$11),2),"")</f>
        <v/>
      </c>
      <c r="C843" s="24"/>
      <c r="D843" s="24"/>
      <c r="E843" s="23"/>
      <c r="F843" t="str">
        <f>IF(E843='Tablas AR'!$B$4,1,IF('Análisis de Riesgos'!E843='Tablas AR'!$B$5,2,IF('Análisis de Riesgos'!E843='Tablas AR'!$B$6,3,"")))</f>
        <v/>
      </c>
      <c r="G843" s="23"/>
      <c r="H843" t="str">
        <f>IF(G843='Tablas AR'!$B$10,1,IF('Análisis de Riesgos'!G843='Tablas AR'!$B$11,2,IF('Análisis de Riesgos'!G843='Tablas AR'!$B$12,3,"")))</f>
        <v/>
      </c>
      <c r="I843" t="str">
        <f t="shared" si="13"/>
        <v/>
      </c>
    </row>
    <row r="844" spans="2:9" x14ac:dyDescent="0.25">
      <c r="B844" s="24" t="str">
        <f>IFERROR(INDEX(Activos!$B$3:$C$11, MATCH(C844,Activos!$B$3:$B$11),2),"")</f>
        <v/>
      </c>
      <c r="C844" s="24"/>
      <c r="D844" s="24"/>
      <c r="E844" s="23"/>
      <c r="F844" t="str">
        <f>IF(E844='Tablas AR'!$B$4,1,IF('Análisis de Riesgos'!E844='Tablas AR'!$B$5,2,IF('Análisis de Riesgos'!E844='Tablas AR'!$B$6,3,"")))</f>
        <v/>
      </c>
      <c r="G844" s="23"/>
      <c r="H844" t="str">
        <f>IF(G844='Tablas AR'!$B$10,1,IF('Análisis de Riesgos'!G844='Tablas AR'!$B$11,2,IF('Análisis de Riesgos'!G844='Tablas AR'!$B$12,3,"")))</f>
        <v/>
      </c>
      <c r="I844" t="str">
        <f t="shared" si="13"/>
        <v/>
      </c>
    </row>
    <row r="845" spans="2:9" x14ac:dyDescent="0.25">
      <c r="B845" s="24" t="str">
        <f>IFERROR(INDEX(Activos!$B$3:$C$11, MATCH(C845,Activos!$B$3:$B$11),2),"")</f>
        <v/>
      </c>
      <c r="C845" s="24"/>
      <c r="D845" s="24"/>
      <c r="E845" s="23"/>
      <c r="F845" t="str">
        <f>IF(E845='Tablas AR'!$B$4,1,IF('Análisis de Riesgos'!E845='Tablas AR'!$B$5,2,IF('Análisis de Riesgos'!E845='Tablas AR'!$B$6,3,"")))</f>
        <v/>
      </c>
      <c r="G845" s="23"/>
      <c r="H845" t="str">
        <f>IF(G845='Tablas AR'!$B$10,1,IF('Análisis de Riesgos'!G845='Tablas AR'!$B$11,2,IF('Análisis de Riesgos'!G845='Tablas AR'!$B$12,3,"")))</f>
        <v/>
      </c>
      <c r="I845" t="str">
        <f t="shared" si="13"/>
        <v/>
      </c>
    </row>
    <row r="846" spans="2:9" x14ac:dyDescent="0.25">
      <c r="B846" s="24" t="str">
        <f>IFERROR(INDEX(Activos!$B$3:$C$11, MATCH(C846,Activos!$B$3:$B$11),2),"")</f>
        <v/>
      </c>
      <c r="C846" s="24"/>
      <c r="D846" s="24"/>
      <c r="E846" s="23"/>
      <c r="F846" t="str">
        <f>IF(E846='Tablas AR'!$B$4,1,IF('Análisis de Riesgos'!E846='Tablas AR'!$B$5,2,IF('Análisis de Riesgos'!E846='Tablas AR'!$B$6,3,"")))</f>
        <v/>
      </c>
      <c r="G846" s="23"/>
      <c r="H846" t="str">
        <f>IF(G846='Tablas AR'!$B$10,1,IF('Análisis de Riesgos'!G846='Tablas AR'!$B$11,2,IF('Análisis de Riesgos'!G846='Tablas AR'!$B$12,3,"")))</f>
        <v/>
      </c>
      <c r="I846" t="str">
        <f t="shared" si="13"/>
        <v/>
      </c>
    </row>
    <row r="847" spans="2:9" x14ac:dyDescent="0.25">
      <c r="B847" s="24" t="str">
        <f>IFERROR(INDEX(Activos!$B$3:$C$11, MATCH(C847,Activos!$B$3:$B$11),2),"")</f>
        <v/>
      </c>
      <c r="C847" s="24"/>
      <c r="D847" s="24"/>
      <c r="E847" s="23"/>
      <c r="F847" t="str">
        <f>IF(E847='Tablas AR'!$B$4,1,IF('Análisis de Riesgos'!E847='Tablas AR'!$B$5,2,IF('Análisis de Riesgos'!E847='Tablas AR'!$B$6,3,"")))</f>
        <v/>
      </c>
      <c r="G847" s="23"/>
      <c r="H847" t="str">
        <f>IF(G847='Tablas AR'!$B$10,1,IF('Análisis de Riesgos'!G847='Tablas AR'!$B$11,2,IF('Análisis de Riesgos'!G847='Tablas AR'!$B$12,3,"")))</f>
        <v/>
      </c>
      <c r="I847" t="str">
        <f t="shared" si="13"/>
        <v/>
      </c>
    </row>
    <row r="848" spans="2:9" x14ac:dyDescent="0.25">
      <c r="B848" s="24" t="str">
        <f>IFERROR(INDEX(Activos!$B$3:$C$11, MATCH(C848,Activos!$B$3:$B$11),2),"")</f>
        <v/>
      </c>
      <c r="C848" s="24"/>
      <c r="D848" s="24"/>
      <c r="E848" s="23"/>
      <c r="F848" t="str">
        <f>IF(E848='Tablas AR'!$B$4,1,IF('Análisis de Riesgos'!E848='Tablas AR'!$B$5,2,IF('Análisis de Riesgos'!E848='Tablas AR'!$B$6,3,"")))</f>
        <v/>
      </c>
      <c r="G848" s="23"/>
      <c r="H848" t="str">
        <f>IF(G848='Tablas AR'!$B$10,1,IF('Análisis de Riesgos'!G848='Tablas AR'!$B$11,2,IF('Análisis de Riesgos'!G848='Tablas AR'!$B$12,3,"")))</f>
        <v/>
      </c>
      <c r="I848" t="str">
        <f t="shared" si="13"/>
        <v/>
      </c>
    </row>
    <row r="849" spans="2:9" x14ac:dyDescent="0.25">
      <c r="B849" s="24" t="str">
        <f>IFERROR(INDEX(Activos!$B$3:$C$11, MATCH(C849,Activos!$B$3:$B$11),2),"")</f>
        <v/>
      </c>
      <c r="C849" s="24"/>
      <c r="D849" s="24"/>
      <c r="E849" s="23"/>
      <c r="F849" t="str">
        <f>IF(E849='Tablas AR'!$B$4,1,IF('Análisis de Riesgos'!E849='Tablas AR'!$B$5,2,IF('Análisis de Riesgos'!E849='Tablas AR'!$B$6,3,"")))</f>
        <v/>
      </c>
      <c r="G849" s="23"/>
      <c r="H849" t="str">
        <f>IF(G849='Tablas AR'!$B$10,1,IF('Análisis de Riesgos'!G849='Tablas AR'!$B$11,2,IF('Análisis de Riesgos'!G849='Tablas AR'!$B$12,3,"")))</f>
        <v/>
      </c>
      <c r="I849" t="str">
        <f t="shared" si="13"/>
        <v/>
      </c>
    </row>
    <row r="850" spans="2:9" x14ac:dyDescent="0.25">
      <c r="B850" s="24" t="str">
        <f>IFERROR(INDEX(Activos!$B$3:$C$11, MATCH(C850,Activos!$B$3:$B$11),2),"")</f>
        <v/>
      </c>
      <c r="C850" s="24"/>
      <c r="D850" s="24"/>
      <c r="E850" s="23"/>
      <c r="F850" t="str">
        <f>IF(E850='Tablas AR'!$B$4,1,IF('Análisis de Riesgos'!E850='Tablas AR'!$B$5,2,IF('Análisis de Riesgos'!E850='Tablas AR'!$B$6,3,"")))</f>
        <v/>
      </c>
      <c r="G850" s="23"/>
      <c r="H850" t="str">
        <f>IF(G850='Tablas AR'!$B$10,1,IF('Análisis de Riesgos'!G850='Tablas AR'!$B$11,2,IF('Análisis de Riesgos'!G850='Tablas AR'!$B$12,3,"")))</f>
        <v/>
      </c>
      <c r="I850" t="str">
        <f t="shared" si="13"/>
        <v/>
      </c>
    </row>
    <row r="851" spans="2:9" x14ac:dyDescent="0.25">
      <c r="B851" s="24" t="str">
        <f>IFERROR(INDEX(Activos!$B$3:$C$11, MATCH(C851,Activos!$B$3:$B$11),2),"")</f>
        <v/>
      </c>
      <c r="C851" s="24"/>
      <c r="D851" s="24"/>
      <c r="E851" s="23"/>
      <c r="F851" t="str">
        <f>IF(E851='Tablas AR'!$B$4,1,IF('Análisis de Riesgos'!E851='Tablas AR'!$B$5,2,IF('Análisis de Riesgos'!E851='Tablas AR'!$B$6,3,"")))</f>
        <v/>
      </c>
      <c r="G851" s="23"/>
      <c r="H851" t="str">
        <f>IF(G851='Tablas AR'!$B$10,1,IF('Análisis de Riesgos'!G851='Tablas AR'!$B$11,2,IF('Análisis de Riesgos'!G851='Tablas AR'!$B$12,3,"")))</f>
        <v/>
      </c>
      <c r="I851" t="str">
        <f t="shared" si="13"/>
        <v/>
      </c>
    </row>
    <row r="852" spans="2:9" x14ac:dyDescent="0.25">
      <c r="B852" s="24" t="str">
        <f>IFERROR(INDEX(Activos!$B$3:$C$11, MATCH(C852,Activos!$B$3:$B$11),2),"")</f>
        <v/>
      </c>
      <c r="C852" s="24"/>
      <c r="D852" s="24"/>
      <c r="E852" s="23"/>
      <c r="F852" t="str">
        <f>IF(E852='Tablas AR'!$B$4,1,IF('Análisis de Riesgos'!E852='Tablas AR'!$B$5,2,IF('Análisis de Riesgos'!E852='Tablas AR'!$B$6,3,"")))</f>
        <v/>
      </c>
      <c r="G852" s="23"/>
      <c r="H852" t="str">
        <f>IF(G852='Tablas AR'!$B$10,1,IF('Análisis de Riesgos'!G852='Tablas AR'!$B$11,2,IF('Análisis de Riesgos'!G852='Tablas AR'!$B$12,3,"")))</f>
        <v/>
      </c>
      <c r="I852" t="str">
        <f t="shared" si="13"/>
        <v/>
      </c>
    </row>
    <row r="853" spans="2:9" x14ac:dyDescent="0.25">
      <c r="B853" s="24" t="str">
        <f>IFERROR(INDEX(Activos!$B$3:$C$11, MATCH(C853,Activos!$B$3:$B$11),2),"")</f>
        <v/>
      </c>
      <c r="C853" s="24"/>
      <c r="D853" s="24"/>
      <c r="E853" s="23"/>
      <c r="F853" t="str">
        <f>IF(E853='Tablas AR'!$B$4,1,IF('Análisis de Riesgos'!E853='Tablas AR'!$B$5,2,IF('Análisis de Riesgos'!E853='Tablas AR'!$B$6,3,"")))</f>
        <v/>
      </c>
      <c r="G853" s="23"/>
      <c r="H853" t="str">
        <f>IF(G853='Tablas AR'!$B$10,1,IF('Análisis de Riesgos'!G853='Tablas AR'!$B$11,2,IF('Análisis de Riesgos'!G853='Tablas AR'!$B$12,3,"")))</f>
        <v/>
      </c>
      <c r="I853" t="str">
        <f t="shared" si="13"/>
        <v/>
      </c>
    </row>
    <row r="854" spans="2:9" x14ac:dyDescent="0.25">
      <c r="B854" s="24" t="str">
        <f>IFERROR(INDEX(Activos!$B$3:$C$11, MATCH(C854,Activos!$B$3:$B$11),2),"")</f>
        <v/>
      </c>
      <c r="C854" s="24"/>
      <c r="D854" s="24"/>
      <c r="E854" s="23"/>
      <c r="F854" t="str">
        <f>IF(E854='Tablas AR'!$B$4,1,IF('Análisis de Riesgos'!E854='Tablas AR'!$B$5,2,IF('Análisis de Riesgos'!E854='Tablas AR'!$B$6,3,"")))</f>
        <v/>
      </c>
      <c r="G854" s="23"/>
      <c r="H854" t="str">
        <f>IF(G854='Tablas AR'!$B$10,1,IF('Análisis de Riesgos'!G854='Tablas AR'!$B$11,2,IF('Análisis de Riesgos'!G854='Tablas AR'!$B$12,3,"")))</f>
        <v/>
      </c>
      <c r="I854" t="str">
        <f t="shared" si="13"/>
        <v/>
      </c>
    </row>
    <row r="855" spans="2:9" x14ac:dyDescent="0.25">
      <c r="B855" s="24" t="str">
        <f>IFERROR(INDEX(Activos!$B$3:$C$11, MATCH(C855,Activos!$B$3:$B$11),2),"")</f>
        <v/>
      </c>
      <c r="C855" s="24"/>
      <c r="D855" s="24"/>
      <c r="E855" s="23"/>
      <c r="F855" t="str">
        <f>IF(E855='Tablas AR'!$B$4,1,IF('Análisis de Riesgos'!E855='Tablas AR'!$B$5,2,IF('Análisis de Riesgos'!E855='Tablas AR'!$B$6,3,"")))</f>
        <v/>
      </c>
      <c r="G855" s="23"/>
      <c r="H855" t="str">
        <f>IF(G855='Tablas AR'!$B$10,1,IF('Análisis de Riesgos'!G855='Tablas AR'!$B$11,2,IF('Análisis de Riesgos'!G855='Tablas AR'!$B$12,3,"")))</f>
        <v/>
      </c>
      <c r="I855" t="str">
        <f t="shared" si="13"/>
        <v/>
      </c>
    </row>
    <row r="856" spans="2:9" x14ac:dyDescent="0.25">
      <c r="B856" s="24" t="str">
        <f>IFERROR(INDEX(Activos!$B$3:$C$11, MATCH(C856,Activos!$B$3:$B$11),2),"")</f>
        <v/>
      </c>
      <c r="C856" s="24"/>
      <c r="D856" s="24"/>
      <c r="E856" s="23"/>
      <c r="F856" t="str">
        <f>IF(E856='Tablas AR'!$B$4,1,IF('Análisis de Riesgos'!E856='Tablas AR'!$B$5,2,IF('Análisis de Riesgos'!E856='Tablas AR'!$B$6,3,"")))</f>
        <v/>
      </c>
      <c r="G856" s="23"/>
      <c r="H856" t="str">
        <f>IF(G856='Tablas AR'!$B$10,1,IF('Análisis de Riesgos'!G856='Tablas AR'!$B$11,2,IF('Análisis de Riesgos'!G856='Tablas AR'!$B$12,3,"")))</f>
        <v/>
      </c>
      <c r="I856" t="str">
        <f t="shared" si="13"/>
        <v/>
      </c>
    </row>
    <row r="857" spans="2:9" x14ac:dyDescent="0.25">
      <c r="B857" s="24" t="str">
        <f>IFERROR(INDEX(Activos!$B$3:$C$11, MATCH(C857,Activos!$B$3:$B$11),2),"")</f>
        <v/>
      </c>
      <c r="C857" s="24"/>
      <c r="D857" s="24"/>
      <c r="E857" s="23"/>
      <c r="F857" t="str">
        <f>IF(E857='Tablas AR'!$B$4,1,IF('Análisis de Riesgos'!E857='Tablas AR'!$B$5,2,IF('Análisis de Riesgos'!E857='Tablas AR'!$B$6,3,"")))</f>
        <v/>
      </c>
      <c r="G857" s="23"/>
      <c r="H857" t="str">
        <f>IF(G857='Tablas AR'!$B$10,1,IF('Análisis de Riesgos'!G857='Tablas AR'!$B$11,2,IF('Análisis de Riesgos'!G857='Tablas AR'!$B$12,3,"")))</f>
        <v/>
      </c>
      <c r="I857" t="str">
        <f t="shared" si="13"/>
        <v/>
      </c>
    </row>
    <row r="858" spans="2:9" x14ac:dyDescent="0.25">
      <c r="B858" s="24" t="str">
        <f>IFERROR(INDEX(Activos!$B$3:$C$11, MATCH(C858,Activos!$B$3:$B$11),2),"")</f>
        <v/>
      </c>
      <c r="C858" s="24"/>
      <c r="D858" s="24"/>
      <c r="E858" s="23"/>
      <c r="F858" t="str">
        <f>IF(E858='Tablas AR'!$B$4,1,IF('Análisis de Riesgos'!E858='Tablas AR'!$B$5,2,IF('Análisis de Riesgos'!E858='Tablas AR'!$B$6,3,"")))</f>
        <v/>
      </c>
      <c r="G858" s="23"/>
      <c r="H858" t="str">
        <f>IF(G858='Tablas AR'!$B$10,1,IF('Análisis de Riesgos'!G858='Tablas AR'!$B$11,2,IF('Análisis de Riesgos'!G858='Tablas AR'!$B$12,3,"")))</f>
        <v/>
      </c>
      <c r="I858" t="str">
        <f t="shared" si="13"/>
        <v/>
      </c>
    </row>
    <row r="859" spans="2:9" x14ac:dyDescent="0.25">
      <c r="B859" s="24" t="str">
        <f>IFERROR(INDEX(Activos!$B$3:$C$11, MATCH(C859,Activos!$B$3:$B$11),2),"")</f>
        <v/>
      </c>
      <c r="C859" s="24"/>
      <c r="D859" s="24"/>
      <c r="E859" s="23"/>
      <c r="F859" t="str">
        <f>IF(E859='Tablas AR'!$B$4,1,IF('Análisis de Riesgos'!E859='Tablas AR'!$B$5,2,IF('Análisis de Riesgos'!E859='Tablas AR'!$B$6,3,"")))</f>
        <v/>
      </c>
      <c r="G859" s="23"/>
      <c r="H859" t="str">
        <f>IF(G859='Tablas AR'!$B$10,1,IF('Análisis de Riesgos'!G859='Tablas AR'!$B$11,2,IF('Análisis de Riesgos'!G859='Tablas AR'!$B$12,3,"")))</f>
        <v/>
      </c>
      <c r="I859" t="str">
        <f t="shared" si="13"/>
        <v/>
      </c>
    </row>
    <row r="860" spans="2:9" x14ac:dyDescent="0.25">
      <c r="B860" s="24" t="str">
        <f>IFERROR(INDEX(Activos!$B$3:$C$11, MATCH(C860,Activos!$B$3:$B$11),2),"")</f>
        <v/>
      </c>
      <c r="C860" s="24"/>
      <c r="D860" s="24"/>
      <c r="E860" s="23"/>
      <c r="F860" t="str">
        <f>IF(E860='Tablas AR'!$B$4,1,IF('Análisis de Riesgos'!E860='Tablas AR'!$B$5,2,IF('Análisis de Riesgos'!E860='Tablas AR'!$B$6,3,"")))</f>
        <v/>
      </c>
      <c r="G860" s="23"/>
      <c r="H860" t="str">
        <f>IF(G860='Tablas AR'!$B$10,1,IF('Análisis de Riesgos'!G860='Tablas AR'!$B$11,2,IF('Análisis de Riesgos'!G860='Tablas AR'!$B$12,3,"")))</f>
        <v/>
      </c>
      <c r="I860" t="str">
        <f t="shared" si="13"/>
        <v/>
      </c>
    </row>
    <row r="861" spans="2:9" x14ac:dyDescent="0.25">
      <c r="B861" s="24" t="str">
        <f>IFERROR(INDEX(Activos!$B$3:$C$11, MATCH(C861,Activos!$B$3:$B$11),2),"")</f>
        <v/>
      </c>
      <c r="C861" s="24"/>
      <c r="D861" s="24"/>
      <c r="E861" s="23"/>
      <c r="F861" t="str">
        <f>IF(E861='Tablas AR'!$B$4,1,IF('Análisis de Riesgos'!E861='Tablas AR'!$B$5,2,IF('Análisis de Riesgos'!E861='Tablas AR'!$B$6,3,"")))</f>
        <v/>
      </c>
      <c r="G861" s="23"/>
      <c r="H861" t="str">
        <f>IF(G861='Tablas AR'!$B$10,1,IF('Análisis de Riesgos'!G861='Tablas AR'!$B$11,2,IF('Análisis de Riesgos'!G861='Tablas AR'!$B$12,3,"")))</f>
        <v/>
      </c>
      <c r="I861" t="str">
        <f t="shared" si="13"/>
        <v/>
      </c>
    </row>
    <row r="862" spans="2:9" x14ac:dyDescent="0.25">
      <c r="B862" s="24" t="str">
        <f>IFERROR(INDEX(Activos!$B$3:$C$11, MATCH(C862,Activos!$B$3:$B$11),2),"")</f>
        <v/>
      </c>
      <c r="C862" s="24"/>
      <c r="D862" s="24"/>
      <c r="E862" s="23"/>
      <c r="F862" t="str">
        <f>IF(E862='Tablas AR'!$B$4,1,IF('Análisis de Riesgos'!E862='Tablas AR'!$B$5,2,IF('Análisis de Riesgos'!E862='Tablas AR'!$B$6,3,"")))</f>
        <v/>
      </c>
      <c r="G862" s="23"/>
      <c r="H862" t="str">
        <f>IF(G862='Tablas AR'!$B$10,1,IF('Análisis de Riesgos'!G862='Tablas AR'!$B$11,2,IF('Análisis de Riesgos'!G862='Tablas AR'!$B$12,3,"")))</f>
        <v/>
      </c>
      <c r="I862" t="str">
        <f t="shared" si="13"/>
        <v/>
      </c>
    </row>
    <row r="863" spans="2:9" x14ac:dyDescent="0.25">
      <c r="B863" s="24" t="str">
        <f>IFERROR(INDEX(Activos!$B$3:$C$11, MATCH(C863,Activos!$B$3:$B$11),2),"")</f>
        <v/>
      </c>
      <c r="C863" s="24"/>
      <c r="D863" s="24"/>
      <c r="E863" s="23"/>
      <c r="F863" t="str">
        <f>IF(E863='Tablas AR'!$B$4,1,IF('Análisis de Riesgos'!E863='Tablas AR'!$B$5,2,IF('Análisis de Riesgos'!E863='Tablas AR'!$B$6,3,"")))</f>
        <v/>
      </c>
      <c r="G863" s="23"/>
      <c r="H863" t="str">
        <f>IF(G863='Tablas AR'!$B$10,1,IF('Análisis de Riesgos'!G863='Tablas AR'!$B$11,2,IF('Análisis de Riesgos'!G863='Tablas AR'!$B$12,3,"")))</f>
        <v/>
      </c>
      <c r="I863" t="str">
        <f t="shared" si="13"/>
        <v/>
      </c>
    </row>
    <row r="864" spans="2:9" x14ac:dyDescent="0.25">
      <c r="B864" s="24" t="str">
        <f>IFERROR(INDEX(Activos!$B$3:$C$11, MATCH(C864,Activos!$B$3:$B$11),2),"")</f>
        <v/>
      </c>
      <c r="C864" s="24"/>
      <c r="D864" s="24"/>
      <c r="E864" s="23"/>
      <c r="F864" t="str">
        <f>IF(E864='Tablas AR'!$B$4,1,IF('Análisis de Riesgos'!E864='Tablas AR'!$B$5,2,IF('Análisis de Riesgos'!E864='Tablas AR'!$B$6,3,"")))</f>
        <v/>
      </c>
      <c r="G864" s="23"/>
      <c r="H864" t="str">
        <f>IF(G864='Tablas AR'!$B$10,1,IF('Análisis de Riesgos'!G864='Tablas AR'!$B$11,2,IF('Análisis de Riesgos'!G864='Tablas AR'!$B$12,3,"")))</f>
        <v/>
      </c>
      <c r="I864" t="str">
        <f t="shared" si="13"/>
        <v/>
      </c>
    </row>
    <row r="865" spans="2:9" x14ac:dyDescent="0.25">
      <c r="B865" s="24" t="str">
        <f>IFERROR(INDEX(Activos!$B$3:$C$11, MATCH(C865,Activos!$B$3:$B$11),2),"")</f>
        <v/>
      </c>
      <c r="C865" s="24"/>
      <c r="D865" s="24"/>
      <c r="E865" s="23"/>
      <c r="F865" t="str">
        <f>IF(E865='Tablas AR'!$B$4,1,IF('Análisis de Riesgos'!E865='Tablas AR'!$B$5,2,IF('Análisis de Riesgos'!E865='Tablas AR'!$B$6,3,"")))</f>
        <v/>
      </c>
      <c r="G865" s="23"/>
      <c r="H865" t="str">
        <f>IF(G865='Tablas AR'!$B$10,1,IF('Análisis de Riesgos'!G865='Tablas AR'!$B$11,2,IF('Análisis de Riesgos'!G865='Tablas AR'!$B$12,3,"")))</f>
        <v/>
      </c>
      <c r="I865" t="str">
        <f t="shared" si="13"/>
        <v/>
      </c>
    </row>
    <row r="866" spans="2:9" x14ac:dyDescent="0.25">
      <c r="B866" s="24" t="str">
        <f>IFERROR(INDEX(Activos!$B$3:$C$11, MATCH(C866,Activos!$B$3:$B$11),2),"")</f>
        <v/>
      </c>
      <c r="C866" s="24"/>
      <c r="D866" s="24"/>
      <c r="E866" s="23"/>
      <c r="F866" t="str">
        <f>IF(E866='Tablas AR'!$B$4,1,IF('Análisis de Riesgos'!E866='Tablas AR'!$B$5,2,IF('Análisis de Riesgos'!E866='Tablas AR'!$B$6,3,"")))</f>
        <v/>
      </c>
      <c r="G866" s="23"/>
      <c r="H866" t="str">
        <f>IF(G866='Tablas AR'!$B$10,1,IF('Análisis de Riesgos'!G866='Tablas AR'!$B$11,2,IF('Análisis de Riesgos'!G866='Tablas AR'!$B$12,3,"")))</f>
        <v/>
      </c>
      <c r="I866" t="str">
        <f t="shared" si="13"/>
        <v/>
      </c>
    </row>
    <row r="867" spans="2:9" x14ac:dyDescent="0.25">
      <c r="B867" s="24" t="str">
        <f>IFERROR(INDEX(Activos!$B$3:$C$11, MATCH(C867,Activos!$B$3:$B$11),2),"")</f>
        <v/>
      </c>
      <c r="C867" s="24"/>
      <c r="D867" s="24"/>
      <c r="E867" s="23"/>
      <c r="F867" t="str">
        <f>IF(E867='Tablas AR'!$B$4,1,IF('Análisis de Riesgos'!E867='Tablas AR'!$B$5,2,IF('Análisis de Riesgos'!E867='Tablas AR'!$B$6,3,"")))</f>
        <v/>
      </c>
      <c r="G867" s="23"/>
      <c r="H867" t="str">
        <f>IF(G867='Tablas AR'!$B$10,1,IF('Análisis de Riesgos'!G867='Tablas AR'!$B$11,2,IF('Análisis de Riesgos'!G867='Tablas AR'!$B$12,3,"")))</f>
        <v/>
      </c>
      <c r="I867" t="str">
        <f t="shared" si="13"/>
        <v/>
      </c>
    </row>
    <row r="868" spans="2:9" x14ac:dyDescent="0.25">
      <c r="B868" s="24" t="str">
        <f>IFERROR(INDEX(Activos!$B$3:$C$11, MATCH(C868,Activos!$B$3:$B$11),2),"")</f>
        <v/>
      </c>
      <c r="C868" s="24"/>
      <c r="D868" s="24"/>
      <c r="E868" s="23"/>
      <c r="F868" t="str">
        <f>IF(E868='Tablas AR'!$B$4,1,IF('Análisis de Riesgos'!E868='Tablas AR'!$B$5,2,IF('Análisis de Riesgos'!E868='Tablas AR'!$B$6,3,"")))</f>
        <v/>
      </c>
      <c r="G868" s="23"/>
      <c r="H868" t="str">
        <f>IF(G868='Tablas AR'!$B$10,1,IF('Análisis de Riesgos'!G868='Tablas AR'!$B$11,2,IF('Análisis de Riesgos'!G868='Tablas AR'!$B$12,3,"")))</f>
        <v/>
      </c>
      <c r="I868" t="str">
        <f t="shared" si="13"/>
        <v/>
      </c>
    </row>
    <row r="869" spans="2:9" x14ac:dyDescent="0.25">
      <c r="B869" s="24" t="str">
        <f>IFERROR(INDEX(Activos!$B$3:$C$11, MATCH(C869,Activos!$B$3:$B$11),2),"")</f>
        <v/>
      </c>
      <c r="C869" s="24"/>
      <c r="D869" s="24"/>
      <c r="E869" s="23"/>
      <c r="F869" t="str">
        <f>IF(E869='Tablas AR'!$B$4,1,IF('Análisis de Riesgos'!E869='Tablas AR'!$B$5,2,IF('Análisis de Riesgos'!E869='Tablas AR'!$B$6,3,"")))</f>
        <v/>
      </c>
      <c r="G869" s="23"/>
      <c r="H869" t="str">
        <f>IF(G869='Tablas AR'!$B$10,1,IF('Análisis de Riesgos'!G869='Tablas AR'!$B$11,2,IF('Análisis de Riesgos'!G869='Tablas AR'!$B$12,3,"")))</f>
        <v/>
      </c>
      <c r="I869" t="str">
        <f t="shared" si="13"/>
        <v/>
      </c>
    </row>
    <row r="870" spans="2:9" x14ac:dyDescent="0.25">
      <c r="B870" s="24" t="str">
        <f>IFERROR(INDEX(Activos!$B$3:$C$11, MATCH(C870,Activos!$B$3:$B$11),2),"")</f>
        <v/>
      </c>
      <c r="C870" s="24"/>
      <c r="D870" s="24"/>
      <c r="E870" s="23"/>
      <c r="F870" t="str">
        <f>IF(E870='Tablas AR'!$B$4,1,IF('Análisis de Riesgos'!E870='Tablas AR'!$B$5,2,IF('Análisis de Riesgos'!E870='Tablas AR'!$B$6,3,"")))</f>
        <v/>
      </c>
      <c r="G870" s="23"/>
      <c r="H870" t="str">
        <f>IF(G870='Tablas AR'!$B$10,1,IF('Análisis de Riesgos'!G870='Tablas AR'!$B$11,2,IF('Análisis de Riesgos'!G870='Tablas AR'!$B$12,3,"")))</f>
        <v/>
      </c>
      <c r="I870" t="str">
        <f t="shared" si="13"/>
        <v/>
      </c>
    </row>
    <row r="871" spans="2:9" x14ac:dyDescent="0.25">
      <c r="B871" s="24" t="str">
        <f>IFERROR(INDEX(Activos!$B$3:$C$11, MATCH(C871,Activos!$B$3:$B$11),2),"")</f>
        <v/>
      </c>
      <c r="C871" s="24"/>
      <c r="D871" s="24"/>
      <c r="E871" s="23"/>
      <c r="F871" t="str">
        <f>IF(E871='Tablas AR'!$B$4,1,IF('Análisis de Riesgos'!E871='Tablas AR'!$B$5,2,IF('Análisis de Riesgos'!E871='Tablas AR'!$B$6,3,"")))</f>
        <v/>
      </c>
      <c r="G871" s="23"/>
      <c r="H871" t="str">
        <f>IF(G871='Tablas AR'!$B$10,1,IF('Análisis de Riesgos'!G871='Tablas AR'!$B$11,2,IF('Análisis de Riesgos'!G871='Tablas AR'!$B$12,3,"")))</f>
        <v/>
      </c>
      <c r="I871" t="str">
        <f t="shared" si="13"/>
        <v/>
      </c>
    </row>
    <row r="872" spans="2:9" x14ac:dyDescent="0.25">
      <c r="B872" s="24" t="str">
        <f>IFERROR(INDEX(Activos!$B$3:$C$11, MATCH(C872,Activos!$B$3:$B$11),2),"")</f>
        <v/>
      </c>
      <c r="C872" s="24"/>
      <c r="D872" s="24"/>
      <c r="E872" s="23"/>
      <c r="F872" t="str">
        <f>IF(E872='Tablas AR'!$B$4,1,IF('Análisis de Riesgos'!E872='Tablas AR'!$B$5,2,IF('Análisis de Riesgos'!E872='Tablas AR'!$B$6,3,"")))</f>
        <v/>
      </c>
      <c r="G872" s="23"/>
      <c r="H872" t="str">
        <f>IF(G872='Tablas AR'!$B$10,1,IF('Análisis de Riesgos'!G872='Tablas AR'!$B$11,2,IF('Análisis de Riesgos'!G872='Tablas AR'!$B$12,3,"")))</f>
        <v/>
      </c>
      <c r="I872" t="str">
        <f t="shared" si="13"/>
        <v/>
      </c>
    </row>
    <row r="873" spans="2:9" x14ac:dyDescent="0.25">
      <c r="B873" s="24" t="str">
        <f>IFERROR(INDEX(Activos!$B$3:$C$11, MATCH(C873,Activos!$B$3:$B$11),2),"")</f>
        <v/>
      </c>
      <c r="C873" s="24"/>
      <c r="D873" s="24"/>
      <c r="E873" s="23"/>
      <c r="F873" t="str">
        <f>IF(E873='Tablas AR'!$B$4,1,IF('Análisis de Riesgos'!E873='Tablas AR'!$B$5,2,IF('Análisis de Riesgos'!E873='Tablas AR'!$B$6,3,"")))</f>
        <v/>
      </c>
      <c r="G873" s="23"/>
      <c r="H873" t="str">
        <f>IF(G873='Tablas AR'!$B$10,1,IF('Análisis de Riesgos'!G873='Tablas AR'!$B$11,2,IF('Análisis de Riesgos'!G873='Tablas AR'!$B$12,3,"")))</f>
        <v/>
      </c>
      <c r="I873" t="str">
        <f t="shared" si="13"/>
        <v/>
      </c>
    </row>
    <row r="874" spans="2:9" x14ac:dyDescent="0.25">
      <c r="B874" s="24" t="str">
        <f>IFERROR(INDEX(Activos!$B$3:$C$11, MATCH(C874,Activos!$B$3:$B$11),2),"")</f>
        <v/>
      </c>
      <c r="C874" s="24"/>
      <c r="D874" s="24"/>
      <c r="E874" s="23"/>
      <c r="F874" t="str">
        <f>IF(E874='Tablas AR'!$B$4,1,IF('Análisis de Riesgos'!E874='Tablas AR'!$B$5,2,IF('Análisis de Riesgos'!E874='Tablas AR'!$B$6,3,"")))</f>
        <v/>
      </c>
      <c r="G874" s="23"/>
      <c r="H874" t="str">
        <f>IF(G874='Tablas AR'!$B$10,1,IF('Análisis de Riesgos'!G874='Tablas AR'!$B$11,2,IF('Análisis de Riesgos'!G874='Tablas AR'!$B$12,3,"")))</f>
        <v/>
      </c>
      <c r="I874" t="str">
        <f t="shared" si="13"/>
        <v/>
      </c>
    </row>
    <row r="875" spans="2:9" x14ac:dyDescent="0.25">
      <c r="B875" s="24" t="str">
        <f>IFERROR(INDEX(Activos!$B$3:$C$11, MATCH(C875,Activos!$B$3:$B$11),2),"")</f>
        <v/>
      </c>
      <c r="C875" s="24"/>
      <c r="D875" s="24"/>
      <c r="E875" s="23"/>
      <c r="F875" t="str">
        <f>IF(E875='Tablas AR'!$B$4,1,IF('Análisis de Riesgos'!E875='Tablas AR'!$B$5,2,IF('Análisis de Riesgos'!E875='Tablas AR'!$B$6,3,"")))</f>
        <v/>
      </c>
      <c r="G875" s="23"/>
      <c r="H875" t="str">
        <f>IF(G875='Tablas AR'!$B$10,1,IF('Análisis de Riesgos'!G875='Tablas AR'!$B$11,2,IF('Análisis de Riesgos'!G875='Tablas AR'!$B$12,3,"")))</f>
        <v/>
      </c>
      <c r="I875" t="str">
        <f t="shared" si="13"/>
        <v/>
      </c>
    </row>
    <row r="876" spans="2:9" x14ac:dyDescent="0.25">
      <c r="B876" s="24" t="str">
        <f>IFERROR(INDEX(Activos!$B$3:$C$11, MATCH(C876,Activos!$B$3:$B$11),2),"")</f>
        <v/>
      </c>
      <c r="C876" s="24"/>
      <c r="D876" s="24"/>
      <c r="E876" s="23"/>
      <c r="F876" t="str">
        <f>IF(E876='Tablas AR'!$B$4,1,IF('Análisis de Riesgos'!E876='Tablas AR'!$B$5,2,IF('Análisis de Riesgos'!E876='Tablas AR'!$B$6,3,"")))</f>
        <v/>
      </c>
      <c r="G876" s="23"/>
      <c r="H876" t="str">
        <f>IF(G876='Tablas AR'!$B$10,1,IF('Análisis de Riesgos'!G876='Tablas AR'!$B$11,2,IF('Análisis de Riesgos'!G876='Tablas AR'!$B$12,3,"")))</f>
        <v/>
      </c>
      <c r="I876" t="str">
        <f t="shared" si="13"/>
        <v/>
      </c>
    </row>
    <row r="877" spans="2:9" x14ac:dyDescent="0.25">
      <c r="B877" s="24" t="str">
        <f>IFERROR(INDEX(Activos!$B$3:$C$11, MATCH(C877,Activos!$B$3:$B$11),2),"")</f>
        <v/>
      </c>
      <c r="C877" s="24"/>
      <c r="D877" s="24"/>
      <c r="E877" s="23"/>
      <c r="F877" t="str">
        <f>IF(E877='Tablas AR'!$B$4,1,IF('Análisis de Riesgos'!E877='Tablas AR'!$B$5,2,IF('Análisis de Riesgos'!E877='Tablas AR'!$B$6,3,"")))</f>
        <v/>
      </c>
      <c r="G877" s="23"/>
      <c r="H877" t="str">
        <f>IF(G877='Tablas AR'!$B$10,1,IF('Análisis de Riesgos'!G877='Tablas AR'!$B$11,2,IF('Análisis de Riesgos'!G877='Tablas AR'!$B$12,3,"")))</f>
        <v/>
      </c>
      <c r="I877" t="str">
        <f t="shared" si="13"/>
        <v/>
      </c>
    </row>
    <row r="878" spans="2:9" x14ac:dyDescent="0.25">
      <c r="B878" s="24" t="str">
        <f>IFERROR(INDEX(Activos!$B$3:$C$11, MATCH(C878,Activos!$B$3:$B$11),2),"")</f>
        <v/>
      </c>
      <c r="C878" s="24"/>
      <c r="D878" s="24"/>
      <c r="E878" s="23"/>
      <c r="F878" t="str">
        <f>IF(E878='Tablas AR'!$B$4,1,IF('Análisis de Riesgos'!E878='Tablas AR'!$B$5,2,IF('Análisis de Riesgos'!E878='Tablas AR'!$B$6,3,"")))</f>
        <v/>
      </c>
      <c r="G878" s="23"/>
      <c r="H878" t="str">
        <f>IF(G878='Tablas AR'!$B$10,1,IF('Análisis de Riesgos'!G878='Tablas AR'!$B$11,2,IF('Análisis de Riesgos'!G878='Tablas AR'!$B$12,3,"")))</f>
        <v/>
      </c>
      <c r="I878" t="str">
        <f t="shared" si="13"/>
        <v/>
      </c>
    </row>
    <row r="879" spans="2:9" x14ac:dyDescent="0.25">
      <c r="B879" s="24" t="str">
        <f>IFERROR(INDEX(Activos!$B$3:$C$11, MATCH(C879,Activos!$B$3:$B$11),2),"")</f>
        <v/>
      </c>
      <c r="C879" s="24"/>
      <c r="D879" s="24"/>
      <c r="E879" s="23"/>
      <c r="F879" t="str">
        <f>IF(E879='Tablas AR'!$B$4,1,IF('Análisis de Riesgos'!E879='Tablas AR'!$B$5,2,IF('Análisis de Riesgos'!E879='Tablas AR'!$B$6,3,"")))</f>
        <v/>
      </c>
      <c r="G879" s="23"/>
      <c r="H879" t="str">
        <f>IF(G879='Tablas AR'!$B$10,1,IF('Análisis de Riesgos'!G879='Tablas AR'!$B$11,2,IF('Análisis de Riesgos'!G879='Tablas AR'!$B$12,3,"")))</f>
        <v/>
      </c>
      <c r="I879" t="str">
        <f t="shared" si="13"/>
        <v/>
      </c>
    </row>
    <row r="880" spans="2:9" x14ac:dyDescent="0.25">
      <c r="B880" s="24" t="str">
        <f>IFERROR(INDEX(Activos!$B$3:$C$11, MATCH(C880,Activos!$B$3:$B$11),2),"")</f>
        <v/>
      </c>
      <c r="C880" s="24"/>
      <c r="D880" s="24"/>
      <c r="E880" s="23"/>
      <c r="F880" t="str">
        <f>IF(E880='Tablas AR'!$B$4,1,IF('Análisis de Riesgos'!E880='Tablas AR'!$B$5,2,IF('Análisis de Riesgos'!E880='Tablas AR'!$B$6,3,"")))</f>
        <v/>
      </c>
      <c r="G880" s="23"/>
      <c r="H880" t="str">
        <f>IF(G880='Tablas AR'!$B$10,1,IF('Análisis de Riesgos'!G880='Tablas AR'!$B$11,2,IF('Análisis de Riesgos'!G880='Tablas AR'!$B$12,3,"")))</f>
        <v/>
      </c>
      <c r="I880" t="str">
        <f t="shared" si="13"/>
        <v/>
      </c>
    </row>
    <row r="881" spans="2:9" x14ac:dyDescent="0.25">
      <c r="B881" s="24" t="str">
        <f>IFERROR(INDEX(Activos!$B$3:$C$11, MATCH(C881,Activos!$B$3:$B$11),2),"")</f>
        <v/>
      </c>
      <c r="C881" s="24"/>
      <c r="D881" s="24"/>
      <c r="E881" s="23"/>
      <c r="F881" t="str">
        <f>IF(E881='Tablas AR'!$B$4,1,IF('Análisis de Riesgos'!E881='Tablas AR'!$B$5,2,IF('Análisis de Riesgos'!E881='Tablas AR'!$B$6,3,"")))</f>
        <v/>
      </c>
      <c r="G881" s="23"/>
      <c r="H881" t="str">
        <f>IF(G881='Tablas AR'!$B$10,1,IF('Análisis de Riesgos'!G881='Tablas AR'!$B$11,2,IF('Análisis de Riesgos'!G881='Tablas AR'!$B$12,3,"")))</f>
        <v/>
      </c>
      <c r="I881" t="str">
        <f t="shared" si="13"/>
        <v/>
      </c>
    </row>
    <row r="882" spans="2:9" x14ac:dyDescent="0.25">
      <c r="B882" s="24" t="str">
        <f>IFERROR(INDEX(Activos!$B$3:$C$11, MATCH(C882,Activos!$B$3:$B$11),2),"")</f>
        <v/>
      </c>
      <c r="C882" s="24"/>
      <c r="D882" s="24"/>
      <c r="E882" s="23"/>
      <c r="F882" t="str">
        <f>IF(E882='Tablas AR'!$B$4,1,IF('Análisis de Riesgos'!E882='Tablas AR'!$B$5,2,IF('Análisis de Riesgos'!E882='Tablas AR'!$B$6,3,"")))</f>
        <v/>
      </c>
      <c r="G882" s="23"/>
      <c r="H882" t="str">
        <f>IF(G882='Tablas AR'!$B$10,1,IF('Análisis de Riesgos'!G882='Tablas AR'!$B$11,2,IF('Análisis de Riesgos'!G882='Tablas AR'!$B$12,3,"")))</f>
        <v/>
      </c>
      <c r="I882" t="str">
        <f t="shared" si="13"/>
        <v/>
      </c>
    </row>
    <row r="883" spans="2:9" x14ac:dyDescent="0.25">
      <c r="B883" s="24" t="str">
        <f>IFERROR(INDEX(Activos!$B$3:$C$11, MATCH(C883,Activos!$B$3:$B$11),2),"")</f>
        <v/>
      </c>
      <c r="C883" s="24"/>
      <c r="D883" s="24"/>
      <c r="E883" s="23"/>
      <c r="F883" t="str">
        <f>IF(E883='Tablas AR'!$B$4,1,IF('Análisis de Riesgos'!E883='Tablas AR'!$B$5,2,IF('Análisis de Riesgos'!E883='Tablas AR'!$B$6,3,"")))</f>
        <v/>
      </c>
      <c r="G883" s="23"/>
      <c r="H883" t="str">
        <f>IF(G883='Tablas AR'!$B$10,1,IF('Análisis de Riesgos'!G883='Tablas AR'!$B$11,2,IF('Análisis de Riesgos'!G883='Tablas AR'!$B$12,3,"")))</f>
        <v/>
      </c>
      <c r="I883" t="str">
        <f t="shared" si="13"/>
        <v/>
      </c>
    </row>
    <row r="884" spans="2:9" x14ac:dyDescent="0.25">
      <c r="B884" s="24" t="str">
        <f>IFERROR(INDEX(Activos!$B$3:$C$11, MATCH(C884,Activos!$B$3:$B$11),2),"")</f>
        <v/>
      </c>
      <c r="C884" s="24"/>
      <c r="D884" s="24"/>
      <c r="E884" s="23"/>
      <c r="F884" t="str">
        <f>IF(E884='Tablas AR'!$B$4,1,IF('Análisis de Riesgos'!E884='Tablas AR'!$B$5,2,IF('Análisis de Riesgos'!E884='Tablas AR'!$B$6,3,"")))</f>
        <v/>
      </c>
      <c r="G884" s="23"/>
      <c r="H884" t="str">
        <f>IF(G884='Tablas AR'!$B$10,1,IF('Análisis de Riesgos'!G884='Tablas AR'!$B$11,2,IF('Análisis de Riesgos'!G884='Tablas AR'!$B$12,3,"")))</f>
        <v/>
      </c>
      <c r="I884" t="str">
        <f t="shared" si="13"/>
        <v/>
      </c>
    </row>
    <row r="885" spans="2:9" x14ac:dyDescent="0.25">
      <c r="B885" s="24" t="str">
        <f>IFERROR(INDEX(Activos!$B$3:$C$11, MATCH(C885,Activos!$B$3:$B$11),2),"")</f>
        <v/>
      </c>
      <c r="C885" s="24"/>
      <c r="D885" s="24"/>
      <c r="E885" s="23"/>
      <c r="F885" t="str">
        <f>IF(E885='Tablas AR'!$B$4,1,IF('Análisis de Riesgos'!E885='Tablas AR'!$B$5,2,IF('Análisis de Riesgos'!E885='Tablas AR'!$B$6,3,"")))</f>
        <v/>
      </c>
      <c r="G885" s="23"/>
      <c r="H885" t="str">
        <f>IF(G885='Tablas AR'!$B$10,1,IF('Análisis de Riesgos'!G885='Tablas AR'!$B$11,2,IF('Análisis de Riesgos'!G885='Tablas AR'!$B$12,3,"")))</f>
        <v/>
      </c>
      <c r="I885" t="str">
        <f t="shared" si="13"/>
        <v/>
      </c>
    </row>
    <row r="886" spans="2:9" x14ac:dyDescent="0.25">
      <c r="B886" s="24" t="str">
        <f>IFERROR(INDEX(Activos!$B$3:$C$11, MATCH(C886,Activos!$B$3:$B$11),2),"")</f>
        <v/>
      </c>
      <c r="C886" s="24"/>
      <c r="D886" s="24"/>
      <c r="E886" s="23"/>
      <c r="F886" t="str">
        <f>IF(E886='Tablas AR'!$B$4,1,IF('Análisis de Riesgos'!E886='Tablas AR'!$B$5,2,IF('Análisis de Riesgos'!E886='Tablas AR'!$B$6,3,"")))</f>
        <v/>
      </c>
      <c r="G886" s="23"/>
      <c r="H886" t="str">
        <f>IF(G886='Tablas AR'!$B$10,1,IF('Análisis de Riesgos'!G886='Tablas AR'!$B$11,2,IF('Análisis de Riesgos'!G886='Tablas AR'!$B$12,3,"")))</f>
        <v/>
      </c>
      <c r="I886" t="str">
        <f t="shared" si="13"/>
        <v/>
      </c>
    </row>
    <row r="887" spans="2:9" x14ac:dyDescent="0.25">
      <c r="B887" s="24" t="str">
        <f>IFERROR(INDEX(Activos!$B$3:$C$11, MATCH(C887,Activos!$B$3:$B$11),2),"")</f>
        <v/>
      </c>
      <c r="C887" s="24"/>
      <c r="D887" s="24"/>
      <c r="E887" s="23"/>
      <c r="F887" t="str">
        <f>IF(E887='Tablas AR'!$B$4,1,IF('Análisis de Riesgos'!E887='Tablas AR'!$B$5,2,IF('Análisis de Riesgos'!E887='Tablas AR'!$B$6,3,"")))</f>
        <v/>
      </c>
      <c r="G887" s="23"/>
      <c r="H887" t="str">
        <f>IF(G887='Tablas AR'!$B$10,1,IF('Análisis de Riesgos'!G887='Tablas AR'!$B$11,2,IF('Análisis de Riesgos'!G887='Tablas AR'!$B$12,3,"")))</f>
        <v/>
      </c>
      <c r="I887" t="str">
        <f t="shared" si="13"/>
        <v/>
      </c>
    </row>
    <row r="888" spans="2:9" x14ac:dyDescent="0.25">
      <c r="B888" s="24" t="str">
        <f>IFERROR(INDEX(Activos!$B$3:$C$11, MATCH(C888,Activos!$B$3:$B$11),2),"")</f>
        <v/>
      </c>
      <c r="C888" s="24"/>
      <c r="D888" s="24"/>
      <c r="E888" s="23"/>
      <c r="F888" t="str">
        <f>IF(E888='Tablas AR'!$B$4,1,IF('Análisis de Riesgos'!E888='Tablas AR'!$B$5,2,IF('Análisis de Riesgos'!E888='Tablas AR'!$B$6,3,"")))</f>
        <v/>
      </c>
      <c r="G888" s="23"/>
      <c r="H888" t="str">
        <f>IF(G888='Tablas AR'!$B$10,1,IF('Análisis de Riesgos'!G888='Tablas AR'!$B$11,2,IF('Análisis de Riesgos'!G888='Tablas AR'!$B$12,3,"")))</f>
        <v/>
      </c>
      <c r="I888" t="str">
        <f t="shared" si="13"/>
        <v/>
      </c>
    </row>
    <row r="889" spans="2:9" x14ac:dyDescent="0.25">
      <c r="B889" s="24" t="str">
        <f>IFERROR(INDEX(Activos!$B$3:$C$11, MATCH(C889,Activos!$B$3:$B$11),2),"")</f>
        <v/>
      </c>
      <c r="C889" s="24"/>
      <c r="D889" s="24"/>
      <c r="E889" s="23"/>
      <c r="F889" t="str">
        <f>IF(E889='Tablas AR'!$B$4,1,IF('Análisis de Riesgos'!E889='Tablas AR'!$B$5,2,IF('Análisis de Riesgos'!E889='Tablas AR'!$B$6,3,"")))</f>
        <v/>
      </c>
      <c r="G889" s="23"/>
      <c r="H889" t="str">
        <f>IF(G889='Tablas AR'!$B$10,1,IF('Análisis de Riesgos'!G889='Tablas AR'!$B$11,2,IF('Análisis de Riesgos'!G889='Tablas AR'!$B$12,3,"")))</f>
        <v/>
      </c>
      <c r="I889" t="str">
        <f t="shared" si="13"/>
        <v/>
      </c>
    </row>
    <row r="890" spans="2:9" x14ac:dyDescent="0.25">
      <c r="B890" s="24" t="str">
        <f>IFERROR(INDEX(Activos!$B$3:$C$11, MATCH(C890,Activos!$B$3:$B$11),2),"")</f>
        <v/>
      </c>
      <c r="C890" s="24"/>
      <c r="D890" s="24"/>
      <c r="E890" s="23"/>
      <c r="F890" t="str">
        <f>IF(E890='Tablas AR'!$B$4,1,IF('Análisis de Riesgos'!E890='Tablas AR'!$B$5,2,IF('Análisis de Riesgos'!E890='Tablas AR'!$B$6,3,"")))</f>
        <v/>
      </c>
      <c r="G890" s="23"/>
      <c r="H890" t="str">
        <f>IF(G890='Tablas AR'!$B$10,1,IF('Análisis de Riesgos'!G890='Tablas AR'!$B$11,2,IF('Análisis de Riesgos'!G890='Tablas AR'!$B$12,3,"")))</f>
        <v/>
      </c>
      <c r="I890" t="str">
        <f t="shared" si="13"/>
        <v/>
      </c>
    </row>
    <row r="891" spans="2:9" x14ac:dyDescent="0.25">
      <c r="B891" s="24" t="str">
        <f>IFERROR(INDEX(Activos!$B$3:$C$11, MATCH(C891,Activos!$B$3:$B$11),2),"")</f>
        <v/>
      </c>
      <c r="C891" s="24"/>
      <c r="D891" s="24"/>
      <c r="E891" s="23"/>
      <c r="F891" t="str">
        <f>IF(E891='Tablas AR'!$B$4,1,IF('Análisis de Riesgos'!E891='Tablas AR'!$B$5,2,IF('Análisis de Riesgos'!E891='Tablas AR'!$B$6,3,"")))</f>
        <v/>
      </c>
      <c r="G891" s="23"/>
      <c r="H891" t="str">
        <f>IF(G891='Tablas AR'!$B$10,1,IF('Análisis de Riesgos'!G891='Tablas AR'!$B$11,2,IF('Análisis de Riesgos'!G891='Tablas AR'!$B$12,3,"")))</f>
        <v/>
      </c>
      <c r="I891" t="str">
        <f t="shared" si="13"/>
        <v/>
      </c>
    </row>
    <row r="892" spans="2:9" x14ac:dyDescent="0.25">
      <c r="B892" s="24" t="str">
        <f>IFERROR(INDEX(Activos!$B$3:$C$11, MATCH(C892,Activos!$B$3:$B$11),2),"")</f>
        <v/>
      </c>
      <c r="C892" s="24"/>
      <c r="D892" s="24"/>
      <c r="E892" s="23"/>
      <c r="F892" t="str">
        <f>IF(E892='Tablas AR'!$B$4,1,IF('Análisis de Riesgos'!E892='Tablas AR'!$B$5,2,IF('Análisis de Riesgos'!E892='Tablas AR'!$B$6,3,"")))</f>
        <v/>
      </c>
      <c r="G892" s="23"/>
      <c r="H892" t="str">
        <f>IF(G892='Tablas AR'!$B$10,1,IF('Análisis de Riesgos'!G892='Tablas AR'!$B$11,2,IF('Análisis de Riesgos'!G892='Tablas AR'!$B$12,3,"")))</f>
        <v/>
      </c>
      <c r="I892" t="str">
        <f t="shared" si="13"/>
        <v/>
      </c>
    </row>
    <row r="893" spans="2:9" x14ac:dyDescent="0.25">
      <c r="B893" s="24" t="str">
        <f>IFERROR(INDEX(Activos!$B$3:$C$11, MATCH(C893,Activos!$B$3:$B$11),2),"")</f>
        <v/>
      </c>
      <c r="C893" s="24"/>
      <c r="D893" s="24"/>
      <c r="E893" s="23"/>
      <c r="F893" t="str">
        <f>IF(E893='Tablas AR'!$B$4,1,IF('Análisis de Riesgos'!E893='Tablas AR'!$B$5,2,IF('Análisis de Riesgos'!E893='Tablas AR'!$B$6,3,"")))</f>
        <v/>
      </c>
      <c r="G893" s="23"/>
      <c r="H893" t="str">
        <f>IF(G893='Tablas AR'!$B$10,1,IF('Análisis de Riesgos'!G893='Tablas AR'!$B$11,2,IF('Análisis de Riesgos'!G893='Tablas AR'!$B$12,3,"")))</f>
        <v/>
      </c>
      <c r="I893" t="str">
        <f t="shared" si="13"/>
        <v/>
      </c>
    </row>
    <row r="894" spans="2:9" x14ac:dyDescent="0.25">
      <c r="B894" s="24" t="str">
        <f>IFERROR(INDEX(Activos!$B$3:$C$11, MATCH(C894,Activos!$B$3:$B$11),2),"")</f>
        <v/>
      </c>
      <c r="C894" s="24"/>
      <c r="D894" s="24"/>
      <c r="E894" s="23"/>
      <c r="F894" t="str">
        <f>IF(E894='Tablas AR'!$B$4,1,IF('Análisis de Riesgos'!E894='Tablas AR'!$B$5,2,IF('Análisis de Riesgos'!E894='Tablas AR'!$B$6,3,"")))</f>
        <v/>
      </c>
      <c r="G894" s="23"/>
      <c r="H894" t="str">
        <f>IF(G894='Tablas AR'!$B$10,1,IF('Análisis de Riesgos'!G894='Tablas AR'!$B$11,2,IF('Análisis de Riesgos'!G894='Tablas AR'!$B$12,3,"")))</f>
        <v/>
      </c>
      <c r="I894" t="str">
        <f t="shared" si="13"/>
        <v/>
      </c>
    </row>
    <row r="895" spans="2:9" x14ac:dyDescent="0.25">
      <c r="B895" s="24" t="str">
        <f>IFERROR(INDEX(Activos!$B$3:$C$11, MATCH(C895,Activos!$B$3:$B$11),2),"")</f>
        <v/>
      </c>
      <c r="C895" s="24"/>
      <c r="D895" s="24"/>
      <c r="E895" s="23"/>
      <c r="F895" t="str">
        <f>IF(E895='Tablas AR'!$B$4,1,IF('Análisis de Riesgos'!E895='Tablas AR'!$B$5,2,IF('Análisis de Riesgos'!E895='Tablas AR'!$B$6,3,"")))</f>
        <v/>
      </c>
      <c r="G895" s="23"/>
      <c r="H895" t="str">
        <f>IF(G895='Tablas AR'!$B$10,1,IF('Análisis de Riesgos'!G895='Tablas AR'!$B$11,2,IF('Análisis de Riesgos'!G895='Tablas AR'!$B$12,3,"")))</f>
        <v/>
      </c>
      <c r="I895" t="str">
        <f t="shared" si="13"/>
        <v/>
      </c>
    </row>
    <row r="896" spans="2:9" x14ac:dyDescent="0.25">
      <c r="B896" s="24" t="str">
        <f>IFERROR(INDEX(Activos!$B$3:$C$11, MATCH(C896,Activos!$B$3:$B$11),2),"")</f>
        <v/>
      </c>
      <c r="C896" s="24"/>
      <c r="D896" s="24"/>
      <c r="E896" s="23"/>
      <c r="F896" t="str">
        <f>IF(E896='Tablas AR'!$B$4,1,IF('Análisis de Riesgos'!E896='Tablas AR'!$B$5,2,IF('Análisis de Riesgos'!E896='Tablas AR'!$B$6,3,"")))</f>
        <v/>
      </c>
      <c r="G896" s="23"/>
      <c r="H896" t="str">
        <f>IF(G896='Tablas AR'!$B$10,1,IF('Análisis de Riesgos'!G896='Tablas AR'!$B$11,2,IF('Análisis de Riesgos'!G896='Tablas AR'!$B$12,3,"")))</f>
        <v/>
      </c>
      <c r="I896" t="str">
        <f t="shared" si="13"/>
        <v/>
      </c>
    </row>
    <row r="897" spans="2:9" x14ac:dyDescent="0.25">
      <c r="B897" s="24" t="str">
        <f>IFERROR(INDEX(Activos!$B$3:$C$11, MATCH(C897,Activos!$B$3:$B$11),2),"")</f>
        <v/>
      </c>
      <c r="C897" s="24"/>
      <c r="D897" s="24"/>
      <c r="E897" s="23"/>
      <c r="F897" t="str">
        <f>IF(E897='Tablas AR'!$B$4,1,IF('Análisis de Riesgos'!E897='Tablas AR'!$B$5,2,IF('Análisis de Riesgos'!E897='Tablas AR'!$B$6,3,"")))</f>
        <v/>
      </c>
      <c r="G897" s="23"/>
      <c r="H897" t="str">
        <f>IF(G897='Tablas AR'!$B$10,1,IF('Análisis de Riesgos'!G897='Tablas AR'!$B$11,2,IF('Análisis de Riesgos'!G897='Tablas AR'!$B$12,3,"")))</f>
        <v/>
      </c>
      <c r="I897" t="str">
        <f t="shared" si="13"/>
        <v/>
      </c>
    </row>
    <row r="898" spans="2:9" x14ac:dyDescent="0.25">
      <c r="B898" s="24" t="str">
        <f>IFERROR(INDEX(Activos!$B$3:$C$11, MATCH(C898,Activos!$B$3:$B$11),2),"")</f>
        <v/>
      </c>
      <c r="C898" s="24"/>
      <c r="D898" s="24"/>
      <c r="E898" s="23"/>
      <c r="F898" t="str">
        <f>IF(E898='Tablas AR'!$B$4,1,IF('Análisis de Riesgos'!E898='Tablas AR'!$B$5,2,IF('Análisis de Riesgos'!E898='Tablas AR'!$B$6,3,"")))</f>
        <v/>
      </c>
      <c r="G898" s="23"/>
      <c r="H898" t="str">
        <f>IF(G898='Tablas AR'!$B$10,1,IF('Análisis de Riesgos'!G898='Tablas AR'!$B$11,2,IF('Análisis de Riesgos'!G898='Tablas AR'!$B$12,3,"")))</f>
        <v/>
      </c>
      <c r="I898" t="str">
        <f t="shared" si="13"/>
        <v/>
      </c>
    </row>
    <row r="899" spans="2:9" x14ac:dyDescent="0.25">
      <c r="B899" s="24" t="str">
        <f>IFERROR(INDEX(Activos!$B$3:$C$11, MATCH(C899,Activos!$B$3:$B$11),2),"")</f>
        <v/>
      </c>
      <c r="C899" s="24"/>
      <c r="D899" s="24"/>
      <c r="E899" s="23"/>
      <c r="F899" t="str">
        <f>IF(E899='Tablas AR'!$B$4,1,IF('Análisis de Riesgos'!E899='Tablas AR'!$B$5,2,IF('Análisis de Riesgos'!E899='Tablas AR'!$B$6,3,"")))</f>
        <v/>
      </c>
      <c r="G899" s="23"/>
      <c r="H899" t="str">
        <f>IF(G899='Tablas AR'!$B$10,1,IF('Análisis de Riesgos'!G899='Tablas AR'!$B$11,2,IF('Análisis de Riesgos'!G899='Tablas AR'!$B$12,3,"")))</f>
        <v/>
      </c>
      <c r="I899" t="str">
        <f t="shared" si="13"/>
        <v/>
      </c>
    </row>
    <row r="900" spans="2:9" x14ac:dyDescent="0.25">
      <c r="B900" s="24" t="str">
        <f>IFERROR(INDEX(Activos!$B$3:$C$11, MATCH(C900,Activos!$B$3:$B$11),2),"")</f>
        <v/>
      </c>
      <c r="C900" s="24"/>
      <c r="D900" s="24"/>
      <c r="E900" s="23"/>
      <c r="F900" t="str">
        <f>IF(E900='Tablas AR'!$B$4,1,IF('Análisis de Riesgos'!E900='Tablas AR'!$B$5,2,IF('Análisis de Riesgos'!E900='Tablas AR'!$B$6,3,"")))</f>
        <v/>
      </c>
      <c r="G900" s="23"/>
      <c r="H900" t="str">
        <f>IF(G900='Tablas AR'!$B$10,1,IF('Análisis de Riesgos'!G900='Tablas AR'!$B$11,2,IF('Análisis de Riesgos'!G900='Tablas AR'!$B$12,3,"")))</f>
        <v/>
      </c>
      <c r="I900" t="str">
        <f t="shared" ref="I900:I931" si="14" xml:space="preserve"> IFERROR(F900*H900,"")</f>
        <v/>
      </c>
    </row>
    <row r="901" spans="2:9" x14ac:dyDescent="0.25">
      <c r="B901" s="24" t="str">
        <f>IFERROR(INDEX(Activos!$B$3:$C$11, MATCH(C901,Activos!$B$3:$B$11),2),"")</f>
        <v/>
      </c>
      <c r="C901" s="24"/>
      <c r="D901" s="24"/>
      <c r="E901" s="23"/>
      <c r="F901" t="str">
        <f>IF(E901='Tablas AR'!$B$4,1,IF('Análisis de Riesgos'!E901='Tablas AR'!$B$5,2,IF('Análisis de Riesgos'!E901='Tablas AR'!$B$6,3,"")))</f>
        <v/>
      </c>
      <c r="G901" s="23"/>
      <c r="H901" t="str">
        <f>IF(G901='Tablas AR'!$B$10,1,IF('Análisis de Riesgos'!G901='Tablas AR'!$B$11,2,IF('Análisis de Riesgos'!G901='Tablas AR'!$B$12,3,"")))</f>
        <v/>
      </c>
      <c r="I901" t="str">
        <f t="shared" si="14"/>
        <v/>
      </c>
    </row>
    <row r="902" spans="2:9" x14ac:dyDescent="0.25">
      <c r="B902" s="24" t="str">
        <f>IFERROR(INDEX(Activos!$B$3:$C$11, MATCH(C902,Activos!$B$3:$B$11),2),"")</f>
        <v/>
      </c>
      <c r="C902" s="24"/>
      <c r="D902" s="24"/>
      <c r="E902" s="23"/>
      <c r="F902" t="str">
        <f>IF(E902='Tablas AR'!$B$4,1,IF('Análisis de Riesgos'!E902='Tablas AR'!$B$5,2,IF('Análisis de Riesgos'!E902='Tablas AR'!$B$6,3,"")))</f>
        <v/>
      </c>
      <c r="G902" s="23"/>
      <c r="H902" t="str">
        <f>IF(G902='Tablas AR'!$B$10,1,IF('Análisis de Riesgos'!G902='Tablas AR'!$B$11,2,IF('Análisis de Riesgos'!G902='Tablas AR'!$B$12,3,"")))</f>
        <v/>
      </c>
      <c r="I902" t="str">
        <f t="shared" si="14"/>
        <v/>
      </c>
    </row>
    <row r="903" spans="2:9" x14ac:dyDescent="0.25">
      <c r="B903" s="24" t="str">
        <f>IFERROR(INDEX(Activos!$B$3:$C$11, MATCH(C903,Activos!$B$3:$B$11),2),"")</f>
        <v/>
      </c>
      <c r="C903" s="24"/>
      <c r="D903" s="24"/>
      <c r="E903" s="23"/>
      <c r="F903" t="str">
        <f>IF(E903='Tablas AR'!$B$4,1,IF('Análisis de Riesgos'!E903='Tablas AR'!$B$5,2,IF('Análisis de Riesgos'!E903='Tablas AR'!$B$6,3,"")))</f>
        <v/>
      </c>
      <c r="G903" s="23"/>
      <c r="H903" t="str">
        <f>IF(G903='Tablas AR'!$B$10,1,IF('Análisis de Riesgos'!G903='Tablas AR'!$B$11,2,IF('Análisis de Riesgos'!G903='Tablas AR'!$B$12,3,"")))</f>
        <v/>
      </c>
      <c r="I903" t="str">
        <f t="shared" si="14"/>
        <v/>
      </c>
    </row>
    <row r="904" spans="2:9" x14ac:dyDescent="0.25">
      <c r="B904" s="24" t="str">
        <f>IFERROR(INDEX(Activos!$B$3:$C$11, MATCH(C904,Activos!$B$3:$B$11),2),"")</f>
        <v/>
      </c>
      <c r="C904" s="24"/>
      <c r="D904" s="24"/>
      <c r="E904" s="23"/>
      <c r="F904" t="str">
        <f>IF(E904='Tablas AR'!$B$4,1,IF('Análisis de Riesgos'!E904='Tablas AR'!$B$5,2,IF('Análisis de Riesgos'!E904='Tablas AR'!$B$6,3,"")))</f>
        <v/>
      </c>
      <c r="G904" s="23"/>
      <c r="H904" t="str">
        <f>IF(G904='Tablas AR'!$B$10,1,IF('Análisis de Riesgos'!G904='Tablas AR'!$B$11,2,IF('Análisis de Riesgos'!G904='Tablas AR'!$B$12,3,"")))</f>
        <v/>
      </c>
      <c r="I904" t="str">
        <f t="shared" si="14"/>
        <v/>
      </c>
    </row>
    <row r="905" spans="2:9" x14ac:dyDescent="0.25">
      <c r="B905" s="24" t="str">
        <f>IFERROR(INDEX(Activos!$B$3:$C$11, MATCH(C905,Activos!$B$3:$B$11),2),"")</f>
        <v/>
      </c>
      <c r="C905" s="24"/>
      <c r="D905" s="24"/>
      <c r="E905" s="23"/>
      <c r="F905" t="str">
        <f>IF(E905='Tablas AR'!$B$4,1,IF('Análisis de Riesgos'!E905='Tablas AR'!$B$5,2,IF('Análisis de Riesgos'!E905='Tablas AR'!$B$6,3,"")))</f>
        <v/>
      </c>
      <c r="G905" s="23"/>
      <c r="H905" t="str">
        <f>IF(G905='Tablas AR'!$B$10,1,IF('Análisis de Riesgos'!G905='Tablas AR'!$B$11,2,IF('Análisis de Riesgos'!G905='Tablas AR'!$B$12,3,"")))</f>
        <v/>
      </c>
      <c r="I905" t="str">
        <f t="shared" si="14"/>
        <v/>
      </c>
    </row>
    <row r="906" spans="2:9" x14ac:dyDescent="0.25">
      <c r="B906" s="24" t="str">
        <f>IFERROR(INDEX(Activos!$B$3:$C$11, MATCH(C906,Activos!$B$3:$B$11),2),"")</f>
        <v/>
      </c>
      <c r="C906" s="24"/>
      <c r="D906" s="24"/>
      <c r="E906" s="23"/>
      <c r="F906" t="str">
        <f>IF(E906='Tablas AR'!$B$4,1,IF('Análisis de Riesgos'!E906='Tablas AR'!$B$5,2,IF('Análisis de Riesgos'!E906='Tablas AR'!$B$6,3,"")))</f>
        <v/>
      </c>
      <c r="G906" s="23"/>
      <c r="H906" t="str">
        <f>IF(G906='Tablas AR'!$B$10,1,IF('Análisis de Riesgos'!G906='Tablas AR'!$B$11,2,IF('Análisis de Riesgos'!G906='Tablas AR'!$B$12,3,"")))</f>
        <v/>
      </c>
      <c r="I906" t="str">
        <f t="shared" si="14"/>
        <v/>
      </c>
    </row>
    <row r="907" spans="2:9" x14ac:dyDescent="0.25">
      <c r="B907" s="24" t="str">
        <f>IFERROR(INDEX(Activos!$B$3:$C$11, MATCH(C907,Activos!$B$3:$B$11),2),"")</f>
        <v/>
      </c>
      <c r="C907" s="24"/>
      <c r="D907" s="24"/>
      <c r="E907" s="23"/>
      <c r="F907" t="str">
        <f>IF(E907='Tablas AR'!$B$4,1,IF('Análisis de Riesgos'!E907='Tablas AR'!$B$5,2,IF('Análisis de Riesgos'!E907='Tablas AR'!$B$6,3,"")))</f>
        <v/>
      </c>
      <c r="G907" s="23"/>
      <c r="H907" t="str">
        <f>IF(G907='Tablas AR'!$B$10,1,IF('Análisis de Riesgos'!G907='Tablas AR'!$B$11,2,IF('Análisis de Riesgos'!G907='Tablas AR'!$B$12,3,"")))</f>
        <v/>
      </c>
      <c r="I907" t="str">
        <f t="shared" si="14"/>
        <v/>
      </c>
    </row>
    <row r="908" spans="2:9" x14ac:dyDescent="0.25">
      <c r="B908" s="24" t="str">
        <f>IFERROR(INDEX(Activos!$B$3:$C$11, MATCH(C908,Activos!$B$3:$B$11),2),"")</f>
        <v/>
      </c>
      <c r="C908" s="24"/>
      <c r="D908" s="24"/>
      <c r="E908" s="23"/>
      <c r="F908" t="str">
        <f>IF(E908='Tablas AR'!$B$4,1,IF('Análisis de Riesgos'!E908='Tablas AR'!$B$5,2,IF('Análisis de Riesgos'!E908='Tablas AR'!$B$6,3,"")))</f>
        <v/>
      </c>
      <c r="G908" s="23"/>
      <c r="H908" t="str">
        <f>IF(G908='Tablas AR'!$B$10,1,IF('Análisis de Riesgos'!G908='Tablas AR'!$B$11,2,IF('Análisis de Riesgos'!G908='Tablas AR'!$B$12,3,"")))</f>
        <v/>
      </c>
      <c r="I908" t="str">
        <f t="shared" si="14"/>
        <v/>
      </c>
    </row>
    <row r="909" spans="2:9" x14ac:dyDescent="0.25">
      <c r="B909" s="24" t="str">
        <f>IFERROR(INDEX(Activos!$B$3:$C$11, MATCH(C909,Activos!$B$3:$B$11),2),"")</f>
        <v/>
      </c>
      <c r="C909" s="24"/>
      <c r="D909" s="24"/>
      <c r="E909" s="23"/>
      <c r="F909" t="str">
        <f>IF(E909='Tablas AR'!$B$4,1,IF('Análisis de Riesgos'!E909='Tablas AR'!$B$5,2,IF('Análisis de Riesgos'!E909='Tablas AR'!$B$6,3,"")))</f>
        <v/>
      </c>
      <c r="G909" s="23"/>
      <c r="H909" t="str">
        <f>IF(G909='Tablas AR'!$B$10,1,IF('Análisis de Riesgos'!G909='Tablas AR'!$B$11,2,IF('Análisis de Riesgos'!G909='Tablas AR'!$B$12,3,"")))</f>
        <v/>
      </c>
      <c r="I909" t="str">
        <f t="shared" si="14"/>
        <v/>
      </c>
    </row>
    <row r="910" spans="2:9" x14ac:dyDescent="0.25">
      <c r="B910" s="24" t="str">
        <f>IFERROR(INDEX(Activos!$B$3:$C$11, MATCH(C910,Activos!$B$3:$B$11),2),"")</f>
        <v/>
      </c>
      <c r="C910" s="24"/>
      <c r="D910" s="24"/>
      <c r="E910" s="23"/>
      <c r="F910" t="str">
        <f>IF(E910='Tablas AR'!$B$4,1,IF('Análisis de Riesgos'!E910='Tablas AR'!$B$5,2,IF('Análisis de Riesgos'!E910='Tablas AR'!$B$6,3,"")))</f>
        <v/>
      </c>
      <c r="G910" s="23"/>
      <c r="H910" t="str">
        <f>IF(G910='Tablas AR'!$B$10,1,IF('Análisis de Riesgos'!G910='Tablas AR'!$B$11,2,IF('Análisis de Riesgos'!G910='Tablas AR'!$B$12,3,"")))</f>
        <v/>
      </c>
      <c r="I910" t="str">
        <f t="shared" si="14"/>
        <v/>
      </c>
    </row>
    <row r="911" spans="2:9" x14ac:dyDescent="0.25">
      <c r="B911" s="24" t="str">
        <f>IFERROR(INDEX(Activos!$B$3:$C$11, MATCH(C911,Activos!$B$3:$B$11),2),"")</f>
        <v/>
      </c>
      <c r="C911" s="24"/>
      <c r="D911" s="24"/>
      <c r="E911" s="23"/>
      <c r="F911" t="str">
        <f>IF(E911='Tablas AR'!$B$4,1,IF('Análisis de Riesgos'!E911='Tablas AR'!$B$5,2,IF('Análisis de Riesgos'!E911='Tablas AR'!$B$6,3,"")))</f>
        <v/>
      </c>
      <c r="G911" s="23"/>
      <c r="H911" t="str">
        <f>IF(G911='Tablas AR'!$B$10,1,IF('Análisis de Riesgos'!G911='Tablas AR'!$B$11,2,IF('Análisis de Riesgos'!G911='Tablas AR'!$B$12,3,"")))</f>
        <v/>
      </c>
      <c r="I911" t="str">
        <f t="shared" si="14"/>
        <v/>
      </c>
    </row>
    <row r="912" spans="2:9" x14ac:dyDescent="0.25">
      <c r="B912" s="24" t="str">
        <f>IFERROR(INDEX(Activos!$B$3:$C$11, MATCH(C912,Activos!$B$3:$B$11),2),"")</f>
        <v/>
      </c>
      <c r="C912" s="24"/>
      <c r="D912" s="24"/>
      <c r="E912" s="23"/>
      <c r="F912" t="str">
        <f>IF(E912='Tablas AR'!$B$4,1,IF('Análisis de Riesgos'!E912='Tablas AR'!$B$5,2,IF('Análisis de Riesgos'!E912='Tablas AR'!$B$6,3,"")))</f>
        <v/>
      </c>
      <c r="G912" s="23"/>
      <c r="H912" t="str">
        <f>IF(G912='Tablas AR'!$B$10,1,IF('Análisis de Riesgos'!G912='Tablas AR'!$B$11,2,IF('Análisis de Riesgos'!G912='Tablas AR'!$B$12,3,"")))</f>
        <v/>
      </c>
      <c r="I912" t="str">
        <f t="shared" si="14"/>
        <v/>
      </c>
    </row>
    <row r="913" spans="2:9" x14ac:dyDescent="0.25">
      <c r="B913" s="24" t="str">
        <f>IFERROR(INDEX(Activos!$B$3:$C$11, MATCH(C913,Activos!$B$3:$B$11),2),"")</f>
        <v/>
      </c>
      <c r="C913" s="24"/>
      <c r="D913" s="24"/>
      <c r="E913" s="23"/>
      <c r="F913" t="str">
        <f>IF(E913='Tablas AR'!$B$4,1,IF('Análisis de Riesgos'!E913='Tablas AR'!$B$5,2,IF('Análisis de Riesgos'!E913='Tablas AR'!$B$6,3,"")))</f>
        <v/>
      </c>
      <c r="G913" s="23"/>
      <c r="H913" t="str">
        <f>IF(G913='Tablas AR'!$B$10,1,IF('Análisis de Riesgos'!G913='Tablas AR'!$B$11,2,IF('Análisis de Riesgos'!G913='Tablas AR'!$B$12,3,"")))</f>
        <v/>
      </c>
      <c r="I913" t="str">
        <f t="shared" si="14"/>
        <v/>
      </c>
    </row>
    <row r="914" spans="2:9" x14ac:dyDescent="0.25">
      <c r="B914" s="24" t="str">
        <f>IFERROR(INDEX(Activos!$B$3:$C$11, MATCH(C914,Activos!$B$3:$B$11),2),"")</f>
        <v/>
      </c>
      <c r="C914" s="24"/>
      <c r="D914" s="24"/>
      <c r="E914" s="23"/>
      <c r="F914" t="str">
        <f>IF(E914='Tablas AR'!$B$4,1,IF('Análisis de Riesgos'!E914='Tablas AR'!$B$5,2,IF('Análisis de Riesgos'!E914='Tablas AR'!$B$6,3,"")))</f>
        <v/>
      </c>
      <c r="G914" s="23"/>
      <c r="H914" t="str">
        <f>IF(G914='Tablas AR'!$B$10,1,IF('Análisis de Riesgos'!G914='Tablas AR'!$B$11,2,IF('Análisis de Riesgos'!G914='Tablas AR'!$B$12,3,"")))</f>
        <v/>
      </c>
      <c r="I914" t="str">
        <f t="shared" si="14"/>
        <v/>
      </c>
    </row>
    <row r="915" spans="2:9" x14ac:dyDescent="0.25">
      <c r="B915" s="24" t="str">
        <f>IFERROR(INDEX(Activos!$B$3:$C$11, MATCH(C915,Activos!$B$3:$B$11),2),"")</f>
        <v/>
      </c>
      <c r="C915" s="24"/>
      <c r="D915" s="24"/>
      <c r="E915" s="23"/>
      <c r="F915" t="str">
        <f>IF(E915='Tablas AR'!$B$4,1,IF('Análisis de Riesgos'!E915='Tablas AR'!$B$5,2,IF('Análisis de Riesgos'!E915='Tablas AR'!$B$6,3,"")))</f>
        <v/>
      </c>
      <c r="G915" s="23"/>
      <c r="H915" t="str">
        <f>IF(G915='Tablas AR'!$B$10,1,IF('Análisis de Riesgos'!G915='Tablas AR'!$B$11,2,IF('Análisis de Riesgos'!G915='Tablas AR'!$B$12,3,"")))</f>
        <v/>
      </c>
      <c r="I915" t="str">
        <f t="shared" si="14"/>
        <v/>
      </c>
    </row>
    <row r="916" spans="2:9" x14ac:dyDescent="0.25">
      <c r="B916" s="24" t="str">
        <f>IFERROR(INDEX(Activos!$B$3:$C$11, MATCH(C916,Activos!$B$3:$B$11),2),"")</f>
        <v/>
      </c>
      <c r="C916" s="24"/>
      <c r="D916" s="24"/>
      <c r="E916" s="23"/>
      <c r="F916" t="str">
        <f>IF(E916='Tablas AR'!$B$4,1,IF('Análisis de Riesgos'!E916='Tablas AR'!$B$5,2,IF('Análisis de Riesgos'!E916='Tablas AR'!$B$6,3,"")))</f>
        <v/>
      </c>
      <c r="G916" s="23"/>
      <c r="H916" t="str">
        <f>IF(G916='Tablas AR'!$B$10,1,IF('Análisis de Riesgos'!G916='Tablas AR'!$B$11,2,IF('Análisis de Riesgos'!G916='Tablas AR'!$B$12,3,"")))</f>
        <v/>
      </c>
      <c r="I916" t="str">
        <f t="shared" si="14"/>
        <v/>
      </c>
    </row>
    <row r="917" spans="2:9" x14ac:dyDescent="0.25">
      <c r="B917" s="24" t="str">
        <f>IFERROR(INDEX(Activos!$B$3:$C$11, MATCH(C917,Activos!$B$3:$B$11),2),"")</f>
        <v/>
      </c>
      <c r="C917" s="24"/>
      <c r="D917" s="24"/>
      <c r="E917" s="23"/>
      <c r="F917" t="str">
        <f>IF(E917='Tablas AR'!$B$4,1,IF('Análisis de Riesgos'!E917='Tablas AR'!$B$5,2,IF('Análisis de Riesgos'!E917='Tablas AR'!$B$6,3,"")))</f>
        <v/>
      </c>
      <c r="G917" s="23"/>
      <c r="H917" t="str">
        <f>IF(G917='Tablas AR'!$B$10,1,IF('Análisis de Riesgos'!G917='Tablas AR'!$B$11,2,IF('Análisis de Riesgos'!G917='Tablas AR'!$B$12,3,"")))</f>
        <v/>
      </c>
      <c r="I917" t="str">
        <f t="shared" si="14"/>
        <v/>
      </c>
    </row>
    <row r="918" spans="2:9" x14ac:dyDescent="0.25">
      <c r="B918" s="24" t="str">
        <f>IFERROR(INDEX(Activos!$B$3:$C$11, MATCH(C918,Activos!$B$3:$B$11),2),"")</f>
        <v/>
      </c>
      <c r="C918" s="24"/>
      <c r="D918" s="24"/>
      <c r="E918" s="23"/>
      <c r="F918" t="str">
        <f>IF(E918='Tablas AR'!$B$4,1,IF('Análisis de Riesgos'!E918='Tablas AR'!$B$5,2,IF('Análisis de Riesgos'!E918='Tablas AR'!$B$6,3,"")))</f>
        <v/>
      </c>
      <c r="G918" s="23"/>
      <c r="H918" t="str">
        <f>IF(G918='Tablas AR'!$B$10,1,IF('Análisis de Riesgos'!G918='Tablas AR'!$B$11,2,IF('Análisis de Riesgos'!G918='Tablas AR'!$B$12,3,"")))</f>
        <v/>
      </c>
      <c r="I918" t="str">
        <f t="shared" si="14"/>
        <v/>
      </c>
    </row>
    <row r="919" spans="2:9" x14ac:dyDescent="0.25">
      <c r="B919" s="24" t="str">
        <f>IFERROR(INDEX(Activos!$B$3:$C$11, MATCH(C919,Activos!$B$3:$B$11),2),"")</f>
        <v/>
      </c>
      <c r="C919" s="24"/>
      <c r="D919" s="24"/>
      <c r="E919" s="23"/>
      <c r="F919" t="str">
        <f>IF(E919='Tablas AR'!$B$4,1,IF('Análisis de Riesgos'!E919='Tablas AR'!$B$5,2,IF('Análisis de Riesgos'!E919='Tablas AR'!$B$6,3,"")))</f>
        <v/>
      </c>
      <c r="G919" s="23"/>
      <c r="H919" t="str">
        <f>IF(G919='Tablas AR'!$B$10,1,IF('Análisis de Riesgos'!G919='Tablas AR'!$B$11,2,IF('Análisis de Riesgos'!G919='Tablas AR'!$B$12,3,"")))</f>
        <v/>
      </c>
      <c r="I919" t="str">
        <f t="shared" si="14"/>
        <v/>
      </c>
    </row>
    <row r="920" spans="2:9" x14ac:dyDescent="0.25">
      <c r="B920" s="24" t="str">
        <f>IFERROR(INDEX(Activos!$B$3:$C$11, MATCH(C920,Activos!$B$3:$B$11),2),"")</f>
        <v/>
      </c>
      <c r="C920" s="24"/>
      <c r="D920" s="24"/>
      <c r="E920" s="23"/>
      <c r="F920" t="str">
        <f>IF(E920='Tablas AR'!$B$4,1,IF('Análisis de Riesgos'!E920='Tablas AR'!$B$5,2,IF('Análisis de Riesgos'!E920='Tablas AR'!$B$6,3,"")))</f>
        <v/>
      </c>
      <c r="G920" s="23"/>
      <c r="H920" t="str">
        <f>IF(G920='Tablas AR'!$B$10,1,IF('Análisis de Riesgos'!G920='Tablas AR'!$B$11,2,IF('Análisis de Riesgos'!G920='Tablas AR'!$B$12,3,"")))</f>
        <v/>
      </c>
      <c r="I920" t="str">
        <f t="shared" si="14"/>
        <v/>
      </c>
    </row>
    <row r="921" spans="2:9" x14ac:dyDescent="0.25">
      <c r="B921" s="24" t="str">
        <f>IFERROR(INDEX(Activos!$B$3:$C$11, MATCH(C921,Activos!$B$3:$B$11),2),"")</f>
        <v/>
      </c>
      <c r="C921" s="24"/>
      <c r="D921" s="24"/>
      <c r="E921" s="23"/>
      <c r="F921" t="str">
        <f>IF(E921='Tablas AR'!$B$4,1,IF('Análisis de Riesgos'!E921='Tablas AR'!$B$5,2,IF('Análisis de Riesgos'!E921='Tablas AR'!$B$6,3,"")))</f>
        <v/>
      </c>
      <c r="G921" s="23"/>
      <c r="H921" t="str">
        <f>IF(G921='Tablas AR'!$B$10,1,IF('Análisis de Riesgos'!G921='Tablas AR'!$B$11,2,IF('Análisis de Riesgos'!G921='Tablas AR'!$B$12,3,"")))</f>
        <v/>
      </c>
      <c r="I921" t="str">
        <f t="shared" si="14"/>
        <v/>
      </c>
    </row>
    <row r="922" spans="2:9" x14ac:dyDescent="0.25">
      <c r="B922" s="24" t="str">
        <f>IFERROR(INDEX(Activos!$B$3:$C$11, MATCH(C922,Activos!$B$3:$B$11),2),"")</f>
        <v/>
      </c>
      <c r="C922" s="24"/>
      <c r="D922" s="24"/>
      <c r="E922" s="23"/>
      <c r="F922" t="str">
        <f>IF(E922='Tablas AR'!$B$4,1,IF('Análisis de Riesgos'!E922='Tablas AR'!$B$5,2,IF('Análisis de Riesgos'!E922='Tablas AR'!$B$6,3,"")))</f>
        <v/>
      </c>
      <c r="G922" s="23"/>
      <c r="H922" t="str">
        <f>IF(G922='Tablas AR'!$B$10,1,IF('Análisis de Riesgos'!G922='Tablas AR'!$B$11,2,IF('Análisis de Riesgos'!G922='Tablas AR'!$B$12,3,"")))</f>
        <v/>
      </c>
      <c r="I922" t="str">
        <f t="shared" si="14"/>
        <v/>
      </c>
    </row>
    <row r="923" spans="2:9" x14ac:dyDescent="0.25">
      <c r="B923" s="24" t="str">
        <f>IFERROR(INDEX(Activos!$B$3:$C$11, MATCH(C923,Activos!$B$3:$B$11),2),"")</f>
        <v/>
      </c>
      <c r="C923" s="24"/>
      <c r="D923" s="24"/>
      <c r="E923" s="23"/>
      <c r="F923" t="str">
        <f>IF(E923='Tablas AR'!$B$4,1,IF('Análisis de Riesgos'!E923='Tablas AR'!$B$5,2,IF('Análisis de Riesgos'!E923='Tablas AR'!$B$6,3,"")))</f>
        <v/>
      </c>
      <c r="G923" s="23"/>
      <c r="H923" t="str">
        <f>IF(G923='Tablas AR'!$B$10,1,IF('Análisis de Riesgos'!G923='Tablas AR'!$B$11,2,IF('Análisis de Riesgos'!G923='Tablas AR'!$B$12,3,"")))</f>
        <v/>
      </c>
      <c r="I923" t="str">
        <f t="shared" si="14"/>
        <v/>
      </c>
    </row>
    <row r="924" spans="2:9" x14ac:dyDescent="0.25">
      <c r="B924" s="24" t="str">
        <f>IFERROR(INDEX(Activos!$B$3:$C$11, MATCH(C924,Activos!$B$3:$B$11),2),"")</f>
        <v/>
      </c>
      <c r="C924" s="24"/>
      <c r="D924" s="24"/>
      <c r="E924" s="23"/>
      <c r="F924" t="str">
        <f>IF(E924='Tablas AR'!$B$4,1,IF('Análisis de Riesgos'!E924='Tablas AR'!$B$5,2,IF('Análisis de Riesgos'!E924='Tablas AR'!$B$6,3,"")))</f>
        <v/>
      </c>
      <c r="G924" s="23"/>
      <c r="H924" t="str">
        <f>IF(G924='Tablas AR'!$B$10,1,IF('Análisis de Riesgos'!G924='Tablas AR'!$B$11,2,IF('Análisis de Riesgos'!G924='Tablas AR'!$B$12,3,"")))</f>
        <v/>
      </c>
      <c r="I924" t="str">
        <f t="shared" si="14"/>
        <v/>
      </c>
    </row>
    <row r="925" spans="2:9" x14ac:dyDescent="0.25">
      <c r="B925" s="24" t="str">
        <f>IFERROR(INDEX(Activos!$B$3:$C$11, MATCH(C925,Activos!$B$3:$B$11),2),"")</f>
        <v/>
      </c>
      <c r="C925" s="24"/>
      <c r="D925" s="24"/>
      <c r="E925" s="23"/>
      <c r="F925" t="str">
        <f>IF(E925='Tablas AR'!$B$4,1,IF('Análisis de Riesgos'!E925='Tablas AR'!$B$5,2,IF('Análisis de Riesgos'!E925='Tablas AR'!$B$6,3,"")))</f>
        <v/>
      </c>
      <c r="G925" s="23"/>
      <c r="H925" t="str">
        <f>IF(G925='Tablas AR'!$B$10,1,IF('Análisis de Riesgos'!G925='Tablas AR'!$B$11,2,IF('Análisis de Riesgos'!G925='Tablas AR'!$B$12,3,"")))</f>
        <v/>
      </c>
      <c r="I925" t="str">
        <f t="shared" si="14"/>
        <v/>
      </c>
    </row>
    <row r="926" spans="2:9" x14ac:dyDescent="0.25">
      <c r="B926" s="24" t="str">
        <f>IFERROR(INDEX(Activos!$B$3:$C$11, MATCH(C926,Activos!$B$3:$B$11),2),"")</f>
        <v/>
      </c>
      <c r="C926" s="24"/>
      <c r="D926" s="24"/>
      <c r="E926" s="23"/>
      <c r="F926" t="str">
        <f>IF(E926='Tablas AR'!$B$4,1,IF('Análisis de Riesgos'!E926='Tablas AR'!$B$5,2,IF('Análisis de Riesgos'!E926='Tablas AR'!$B$6,3,"")))</f>
        <v/>
      </c>
      <c r="G926" s="23"/>
      <c r="H926" t="str">
        <f>IF(G926='Tablas AR'!$B$10,1,IF('Análisis de Riesgos'!G926='Tablas AR'!$B$11,2,IF('Análisis de Riesgos'!G926='Tablas AR'!$B$12,3,"")))</f>
        <v/>
      </c>
      <c r="I926" t="str">
        <f t="shared" si="14"/>
        <v/>
      </c>
    </row>
    <row r="927" spans="2:9" x14ac:dyDescent="0.25">
      <c r="B927" s="24" t="str">
        <f>IFERROR(INDEX(Activos!$B$3:$C$11, MATCH(C927,Activos!$B$3:$B$11),2),"")</f>
        <v/>
      </c>
      <c r="C927" s="24"/>
      <c r="D927" s="24"/>
      <c r="E927" s="23"/>
      <c r="F927" t="str">
        <f>IF(E927='Tablas AR'!$B$4,1,IF('Análisis de Riesgos'!E927='Tablas AR'!$B$5,2,IF('Análisis de Riesgos'!E927='Tablas AR'!$B$6,3,"")))</f>
        <v/>
      </c>
      <c r="G927" s="23"/>
      <c r="H927" t="str">
        <f>IF(G927='Tablas AR'!$B$10,1,IF('Análisis de Riesgos'!G927='Tablas AR'!$B$11,2,IF('Análisis de Riesgos'!G927='Tablas AR'!$B$12,3,"")))</f>
        <v/>
      </c>
      <c r="I927" t="str">
        <f t="shared" si="14"/>
        <v/>
      </c>
    </row>
    <row r="928" spans="2:9" x14ac:dyDescent="0.25">
      <c r="B928" s="24" t="str">
        <f>IFERROR(INDEX(Activos!$B$3:$C$11, MATCH(C928,Activos!$B$3:$B$11),2),"")</f>
        <v/>
      </c>
      <c r="C928" s="24"/>
      <c r="D928" s="24"/>
      <c r="E928" s="23"/>
      <c r="F928" t="str">
        <f>IF(E928='Tablas AR'!$B$4,1,IF('Análisis de Riesgos'!E928='Tablas AR'!$B$5,2,IF('Análisis de Riesgos'!E928='Tablas AR'!$B$6,3,"")))</f>
        <v/>
      </c>
      <c r="G928" s="23"/>
      <c r="H928" t="str">
        <f>IF(G928='Tablas AR'!$B$10,1,IF('Análisis de Riesgos'!G928='Tablas AR'!$B$11,2,IF('Análisis de Riesgos'!G928='Tablas AR'!$B$12,3,"")))</f>
        <v/>
      </c>
      <c r="I928" t="str">
        <f t="shared" si="14"/>
        <v/>
      </c>
    </row>
    <row r="929" spans="2:9" x14ac:dyDescent="0.25">
      <c r="B929" s="24" t="str">
        <f>IFERROR(INDEX(Activos!$B$3:$C$11, MATCH(C929,Activos!$B$3:$B$11),2),"")</f>
        <v/>
      </c>
      <c r="C929" s="24"/>
      <c r="D929" s="24"/>
      <c r="E929" s="23"/>
      <c r="F929" t="str">
        <f>IF(E929='Tablas AR'!$B$4,1,IF('Análisis de Riesgos'!E929='Tablas AR'!$B$5,2,IF('Análisis de Riesgos'!E929='Tablas AR'!$B$6,3,"")))</f>
        <v/>
      </c>
      <c r="G929" s="23"/>
      <c r="H929" t="str">
        <f>IF(G929='Tablas AR'!$B$10,1,IF('Análisis de Riesgos'!G929='Tablas AR'!$B$11,2,IF('Análisis de Riesgos'!G929='Tablas AR'!$B$12,3,"")))</f>
        <v/>
      </c>
      <c r="I929" t="str">
        <f t="shared" si="14"/>
        <v/>
      </c>
    </row>
    <row r="930" spans="2:9" x14ac:dyDescent="0.25">
      <c r="B930" s="24" t="str">
        <f>IFERROR(INDEX(Activos!$B$3:$C$11, MATCH(C930,Activos!$B$3:$B$11),2),"")</f>
        <v/>
      </c>
      <c r="C930" s="24"/>
      <c r="D930" s="24"/>
      <c r="E930" s="23"/>
      <c r="G930" s="23"/>
      <c r="H930" t="str">
        <f>IF(G930='Tablas AR'!$B$10,1,IF('Análisis de Riesgos'!G930='Tablas AR'!$B$11,2,IF('Análisis de Riesgos'!G930='Tablas AR'!$B$12,3,"")))</f>
        <v/>
      </c>
      <c r="I930" t="str">
        <f t="shared" si="14"/>
        <v/>
      </c>
    </row>
    <row r="931" spans="2:9" x14ac:dyDescent="0.25">
      <c r="B931" s="24" t="str">
        <f>IFERROR(INDEX(Activos!$B$3:$C$11, MATCH(C931,Activos!$B$3:$B$11),2),"")</f>
        <v/>
      </c>
      <c r="C931" s="24"/>
      <c r="D931" s="24"/>
      <c r="E931" s="23"/>
      <c r="G931" s="23"/>
      <c r="H931" t="str">
        <f>IF(G931='Tablas AR'!$B$10,1,IF('Análisis de Riesgos'!G931='Tablas AR'!$B$11,2,IF('Análisis de Riesgos'!G931='Tablas AR'!$B$12,3,"")))</f>
        <v/>
      </c>
      <c r="I931" t="str">
        <f t="shared" si="14"/>
        <v/>
      </c>
    </row>
    <row r="932" spans="2:9" x14ac:dyDescent="0.25">
      <c r="B932" s="24" t="str">
        <f>IFERROR(INDEX(Activos!$B$3:$C$11, MATCH(C932,Activos!$B$3:$B$11),2),"")</f>
        <v/>
      </c>
      <c r="C932" s="24"/>
      <c r="D932" s="24"/>
      <c r="E932" s="23"/>
      <c r="G932" s="23"/>
    </row>
    <row r="933" spans="2:9" x14ac:dyDescent="0.25">
      <c r="B933" s="24" t="str">
        <f>IFERROR(INDEX(Activos!$B$3:$C$11, MATCH(C933,Activos!$B$3:$B$11),2),"")</f>
        <v/>
      </c>
      <c r="C933" s="24"/>
      <c r="D933" s="24"/>
      <c r="E933" s="23"/>
      <c r="G933" s="23"/>
    </row>
  </sheetData>
  <sheetProtection algorithmName="SHA-512" hashValue="MjX/5tKPQkhD9kK9WvS5ZkDmUNkxunafworjQ68fIXe9+iUfeW+u1cksnlWFJhn1TupTUzf+5DzkqfcvsfN8XQ==" saltValue="MrFvEZR9Ul33uDPQ610XVQ==" spinCount="100000" sheet="1" objects="1" scenarios="1"/>
  <mergeCells count="1">
    <mergeCell ref="B1:I1"/>
  </mergeCells>
  <conditionalFormatting sqref="I3:I933">
    <cfRule type="cellIs" dxfId="5" priority="6" stopIfTrue="1" operator="equal">
      <formula>1</formula>
    </cfRule>
  </conditionalFormatting>
  <conditionalFormatting sqref="I3:I65536">
    <cfRule type="cellIs" dxfId="4" priority="1" stopIfTrue="1" operator="equal">
      <formula>9</formula>
    </cfRule>
    <cfRule type="cellIs" dxfId="3" priority="2" stopIfTrue="1" operator="equal">
      <formula>6</formula>
    </cfRule>
    <cfRule type="cellIs" dxfId="2" priority="3" stopIfTrue="1" operator="equal">
      <formula>4</formula>
    </cfRule>
    <cfRule type="cellIs" dxfId="1" priority="4" stopIfTrue="1" operator="equal">
      <formula>3</formula>
    </cfRule>
    <cfRule type="cellIs" dxfId="0" priority="5" stopIfTrue="1" operator="equal">
      <formula>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0</xdr:col>
                <xdr:colOff>0</xdr:colOff>
                <xdr:row>0</xdr:row>
                <xdr:rowOff>9525</xdr:rowOff>
              </from>
              <to>
                <xdr:col>0</xdr:col>
                <xdr:colOff>1400175</xdr:colOff>
                <xdr:row>2</xdr:row>
                <xdr:rowOff>142875</xdr:rowOff>
              </to>
            </anchor>
          </controlPr>
        </control>
      </mc:Choice>
      <mc:Fallback>
        <control shapeId="4097"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'Tablas AR'!$B$4:$B$6</xm:f>
          </x14:formula1>
          <xm:sqref>E3:E933</xm:sqref>
        </x14:dataValidation>
        <x14:dataValidation type="list" allowBlank="1" showInputMessage="1" showErrorMessage="1" xr:uid="{00000000-0002-0000-0600-000001000000}">
          <x14:formula1>
            <xm:f>'Tablas AR'!$B$10:$B$12</xm:f>
          </x14:formula1>
          <xm:sqref>G3:G933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Ejemplo de análisis</vt:lpstr>
      <vt:lpstr>Tablas AR</vt:lpstr>
      <vt:lpstr>Catálogo amenazas</vt:lpstr>
      <vt:lpstr>Activos</vt:lpstr>
      <vt:lpstr>Cruces Activo-Amenaza</vt:lpstr>
      <vt:lpstr>Análisis de Riesgos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2014-06-04T15:51:15Z</dcterms:created>
  <dcterms:modified xsi:type="dcterms:W3CDTF">2024-06-02T15:44:04Z</dcterms:modified>
</cp:coreProperties>
</file>